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Girdiler" sheetId="2" state="visible" r:id="rId2"/>
    <sheet xmlns:r="http://schemas.openxmlformats.org/officeDocument/2006/relationships" name="Python_girdileri" sheetId="3" state="visible" r:id="rId3"/>
    <sheet xmlns:r="http://schemas.openxmlformats.org/officeDocument/2006/relationships" name="Zaman" sheetId="4" state="visible" r:id="rId4"/>
    <sheet xmlns:r="http://schemas.openxmlformats.org/officeDocument/2006/relationships" name="Uretim" sheetId="5" state="visible" r:id="rId5"/>
    <sheet xmlns:r="http://schemas.openxmlformats.org/officeDocument/2006/relationships" name="Gelir" sheetId="6" state="visible" r:id="rId6"/>
    <sheet xmlns:r="http://schemas.openxmlformats.org/officeDocument/2006/relationships" name="OPEX" sheetId="7" state="visible" r:id="rId7"/>
    <sheet xmlns:r="http://schemas.openxmlformats.org/officeDocument/2006/relationships" name="Vergi" sheetId="8" state="visible" r:id="rId8"/>
    <sheet xmlns:r="http://schemas.openxmlformats.org/officeDocument/2006/relationships" name="Borc" sheetId="9" state="visible" r:id="rId9"/>
    <sheet xmlns:r="http://schemas.openxmlformats.org/officeDocument/2006/relationships" name="Nakit_akisi" sheetId="10" state="visible" r:id="rId10"/>
    <sheet xmlns:r="http://schemas.openxmlformats.org/officeDocument/2006/relationships" name="Ozet" sheetId="11" state="visible" r:id="rId11"/>
    <sheet xmlns:r="http://schemas.openxmlformats.org/officeDocument/2006/relationships" name="Senaryolar" sheetId="12" state="visible" r:id="rId12"/>
    <sheet xmlns:r="http://schemas.openxmlformats.org/officeDocument/2006/relationships" name="Kontrol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%"/>
  </numFmts>
  <fonts count="12">
    <font>
      <name val="Calibri"/>
      <family val="2"/>
      <color theme="1"/>
      <sz val="11"/>
      <scheme val="minor"/>
    </font>
    <font>
      <b val="1"/>
      <color rgb="001D4F91"/>
      <sz val="16"/>
    </font>
    <font>
      <b val="1"/>
    </font>
    <font>
      <color rgb="001F4E9E"/>
    </font>
    <font>
      <color rgb="001F4E9E"/>
      <u val="single"/>
    </font>
    <font>
      <b val="1"/>
      <color rgb="009C2B1F"/>
    </font>
    <font>
      <b val="1"/>
      <color rgb="001D4F91"/>
      <sz val="14"/>
    </font>
    <font>
      <b val="1"/>
      <color rgb="00FFFFFF"/>
    </font>
    <font>
      <b val="1"/>
      <color rgb="001D4F91"/>
      <sz val="11"/>
    </font>
    <font>
      <b val="1"/>
      <color rgb="001D4F91"/>
      <sz val="13"/>
    </font>
    <font>
      <b val="1"/>
      <color rgb="001D4F91"/>
    </font>
    <font>
      <i val="1"/>
    </font>
  </fonts>
  <fills count="6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FDECEA"/>
      </patternFill>
    </fill>
    <fill>
      <patternFill patternType="solid">
        <fgColor rgb="001D4F91"/>
      </patternFill>
    </fill>
    <fill>
      <patternFill patternType="solid">
        <fgColor rgb="00EE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3" borderId="0" applyAlignment="1" pivotButton="0" quotePrefix="0" xfId="0">
      <alignment vertical="top" wrapText="1"/>
    </xf>
    <xf numFmtId="0" fontId="6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49" fontId="3" fillId="2" borderId="0" pivotButton="0" quotePrefix="0" xfId="0"/>
    <xf numFmtId="3" fontId="3" fillId="2" borderId="0" pivotButton="0" quotePrefix="0" xfId="0"/>
    <xf numFmtId="1" fontId="3" fillId="2" borderId="0" pivotButton="0" quotePrefix="0" xfId="0"/>
    <xf numFmtId="4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166" fontId="3" fillId="2" borderId="0" pivotButton="0" quotePrefix="0" xfId="0"/>
    <xf numFmtId="9" fontId="3" fillId="2" borderId="0" pivotButton="0" quotePrefix="0" xfId="0"/>
    <xf numFmtId="3" fontId="0" fillId="0" borderId="0" pivotButton="0" quotePrefix="0" xfId="0"/>
    <xf numFmtId="0" fontId="9" fillId="0" borderId="0" pivotButton="0" quotePrefix="0" xfId="0"/>
    <xf numFmtId="0" fontId="7" fillId="4" borderId="0" applyAlignment="1" pivotButton="0" quotePrefix="0" xfId="0">
      <alignment wrapText="1"/>
    </xf>
    <xf numFmtId="164" fontId="0" fillId="0" borderId="0" pivotButton="0" quotePrefix="0" xfId="0"/>
    <xf numFmtId="3" fontId="3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10" fillId="5" borderId="0" pivotButton="0" quotePrefix="0" xfId="0"/>
    <xf numFmtId="0" fontId="11" fillId="0" borderId="0" pivotButton="0" quotePrefix="0" xfId="0"/>
    <xf numFmtId="0" fontId="10" fillId="0" borderId="0" pivotButton="0" quotePrefix="0" xfId="0"/>
    <xf numFmtId="49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Girdiler'!A1" TargetMode="External" Id="rId1"/><Relationship Type="http://schemas.openxmlformats.org/officeDocument/2006/relationships/hyperlink" Target="#'Python_girdileri'!A1" TargetMode="External" Id="rId2"/><Relationship Type="http://schemas.openxmlformats.org/officeDocument/2006/relationships/hyperlink" Target="#'Zaman'!A1" TargetMode="External" Id="rId3"/><Relationship Type="http://schemas.openxmlformats.org/officeDocument/2006/relationships/hyperlink" Target="#'Uretim'!A1" TargetMode="External" Id="rId4"/><Relationship Type="http://schemas.openxmlformats.org/officeDocument/2006/relationships/hyperlink" Target="#'Gelir'!A1" TargetMode="External" Id="rId5"/><Relationship Type="http://schemas.openxmlformats.org/officeDocument/2006/relationships/hyperlink" Target="#'OPEX'!A1" TargetMode="External" Id="rId6"/><Relationship Type="http://schemas.openxmlformats.org/officeDocument/2006/relationships/hyperlink" Target="#'Vergi'!A1" TargetMode="External" Id="rId7"/><Relationship Type="http://schemas.openxmlformats.org/officeDocument/2006/relationships/hyperlink" Target="#'Borc'!A1" TargetMode="External" Id="rId8"/><Relationship Type="http://schemas.openxmlformats.org/officeDocument/2006/relationships/hyperlink" Target="#'Nakit_akisi'!A1" TargetMode="External" Id="rId9"/><Relationship Type="http://schemas.openxmlformats.org/officeDocument/2006/relationships/hyperlink" Target="#'Ozet'!A1" TargetMode="External" Id="rId10"/><Relationship Type="http://schemas.openxmlformats.org/officeDocument/2006/relationships/hyperlink" Target="#'Senaryolar'!A1" TargetMode="External" Id="rId11"/><Relationship Type="http://schemas.openxmlformats.org/officeDocument/2006/relationships/hyperlink" Target="#'Kontroller'!A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Ezine Hibrit RES + Batarya — Finansal Model</t>
        </is>
      </c>
    </row>
    <row r="2">
      <c r="A2" t="inlineStr">
        <is>
          <t>Reel 2026 USD · %7 reel WACC · FAST standardına yakın yapı · Ekim 2026</t>
        </is>
      </c>
    </row>
    <row r="3"/>
    <row r="4">
      <c r="A4" s="2" t="inlineStr">
        <is>
          <t>Renk kodu</t>
        </is>
      </c>
    </row>
    <row r="5">
      <c r="A5" s="3" t="inlineStr">
        <is>
          <t>Mavi yazı, sarı zemin = girdi</t>
        </is>
      </c>
    </row>
    <row r="6">
      <c r="A6" t="inlineStr">
        <is>
          <t>Siyah yazı = formül</t>
        </is>
      </c>
    </row>
    <row r="7">
      <c r="A7" t="inlineStr">
        <is>
          <t>Python_girdileri = Python modelinden (saatlik dispatch) gelen değerler</t>
        </is>
      </c>
    </row>
    <row r="8"/>
    <row r="9">
      <c r="A9" s="2" t="inlineStr">
        <is>
          <t>İçindekiler</t>
        </is>
      </c>
    </row>
    <row r="10">
      <c r="A10" s="4" t="inlineStr">
        <is>
          <t>Girdiler</t>
        </is>
      </c>
      <c r="B10" t="inlineStr">
        <is>
          <t>Tüm varsayımlar ve senaryo seçimi (gelir yapısı, fiyat, P50/P90, teşvik, edinim primi)</t>
        </is>
      </c>
    </row>
    <row r="11">
      <c r="A11" s="4" t="inlineStr">
        <is>
          <t>Python_girdileri</t>
        </is>
      </c>
      <c r="B11" t="inlineStr">
        <is>
          <t>Yıllık üretim ve batarya büyüklükleri (Python dispatch LP'leri), kaynak açıklamalı</t>
        </is>
      </c>
    </row>
    <row r="12">
      <c r="A12" s="4" t="inlineStr">
        <is>
          <t>Zaman</t>
        </is>
      </c>
      <c r="B12" t="inlineStr">
        <is>
          <t>Zaman çizelgesi (COD girdiden), iskonto, YEKDEM yıllık katılım kararı</t>
        </is>
      </c>
    </row>
    <row r="13">
      <c r="A13" s="4" t="inlineStr">
        <is>
          <t>Uretim</t>
        </is>
      </c>
      <c r="B13" t="inlineStr">
        <is>
          <t>Seçilen yapı ve üretim durumuna göre yıllık üretim, sistem kesintisi</t>
        </is>
      </c>
    </row>
    <row r="14">
      <c r="A14" s="4" t="inlineStr">
        <is>
          <t>Gelir</t>
        </is>
      </c>
      <c r="B14" t="inlineStr">
        <is>
          <t>RES ve batarya gelir kalemleri (YEKDEM dönemi ve sonrası)</t>
        </is>
      </c>
    </row>
    <row r="15">
      <c r="A15" s="4" t="inlineStr">
        <is>
          <t>OPEX</t>
        </is>
      </c>
      <c r="B15" t="inlineStr">
        <is>
          <t>İşletme giderleri, FAVÖK, augmentation/yenileme, söküm</t>
        </is>
      </c>
    </row>
    <row r="16">
      <c r="A16" s="4" t="inlineStr">
        <is>
          <t>Vergi</t>
        </is>
      </c>
      <c r="B16" t="inlineStr">
        <is>
          <t>Amortisman, 5 yıllık FIFO zarar mahsubu, kurumlar vergisi, KDV (teşvik yoksa)</t>
        </is>
      </c>
    </row>
    <row r="17">
      <c r="A17" s="4" t="inlineStr">
        <is>
          <t>Borc</t>
        </is>
      </c>
      <c r="B17" t="inlineStr">
        <is>
          <t>DSCR hedefli heykelsi borç, geri ödeme tablosu, DSCR, LLCR</t>
        </is>
      </c>
    </row>
    <row r="18">
      <c r="A18" s="4" t="inlineStr">
        <is>
          <t>Nakit_akisi</t>
        </is>
      </c>
      <c r="B18" t="inlineStr">
        <is>
          <t>Proje ve öz kaynak nakit akışları</t>
        </is>
      </c>
    </row>
    <row r="19">
      <c r="A19" s="4" t="inlineStr">
        <is>
          <t>Ozet</t>
        </is>
      </c>
      <c r="B19" t="inlineStr">
        <is>
          <t>NPV, IRR, LCOE, DSCR, geri ödeme, azami edinim primi</t>
        </is>
      </c>
    </row>
    <row r="20">
      <c r="A20" s="4" t="inlineStr">
        <is>
          <t>Senaryolar</t>
        </is>
      </c>
      <c r="B20" t="inlineStr">
        <is>
          <t>96 senaryo (48 × v1/düzeltilmiş): Python ve Excel (LibreOffice ile yeniden hesaplanmış) sonuçları</t>
        </is>
      </c>
    </row>
    <row r="21">
      <c r="A21" s="4" t="inlineStr">
        <is>
          <t>Kontroller</t>
        </is>
      </c>
      <c r="B21" t="inlineStr">
        <is>
          <t>Nakit tutarlılığı, borç sıfırlanması, Python mutabakatı, formül hatası sayımı</t>
        </is>
      </c>
    </row>
    <row r="22"/>
    <row r="23"/>
    <row r="24">
      <c r="A24" t="inlineStr">
        <is>
          <t>Not: Monte Carlo sonuçları (beklenen NPV, P(NPV&gt;0)) bu deterministik modelde yoktur; Ozet sayfasında Python Monte Carlo referansı ayrıca verilir.</t>
        </is>
      </c>
    </row>
    <row r="25"/>
    <row r="26" ht="60" customHeight="1">
      <c r="A26" s="5" t="inlineStr">
        <is>
          <t>Düzeltme notu (Ekim 2026)</t>
        </is>
      </c>
      <c r="B26" s="6" t="inlineStr">
        <is>
          <t>v1'de RES sigortası ve arazi kirası hem 35.000 $/MW-yıl'lık O&amp;M'in (Lazard, her şey dahil) içinde hem ayrı kalem olarak sayılıyordu. Düzeltilmiş senaryo Girdiler sayfasından seçilebilir ("Sigorta + arazi çift sayımı"). Baz vaka Monte Carlo: E[NPV] −1,66 → +0,92 M$, karar (b) rafa kaldır → (a) durum tespiti + sınırlı teklif. Ayrıntı: docs/v1_duzeltme_notu.md</t>
        </is>
      </c>
    </row>
  </sheetData>
  <hyperlinks>
    <hyperlink xmlns:r="http://schemas.openxmlformats.org/officeDocument/2006/relationships" ref="A10" r:id="rId1"/>
    <hyperlink xmlns:r="http://schemas.openxmlformats.org/officeDocument/2006/relationships" ref="A11" r:id="rId2"/>
    <hyperlink xmlns:r="http://schemas.openxmlformats.org/officeDocument/2006/relationships" ref="A12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6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3" max="3"/>
    <col width="16" customWidth="1" min="4" max="4"/>
    <col width="90" customWidth="1" min="5" max="5"/>
  </cols>
  <sheetData>
    <row r="1">
      <c r="A1" s="7" t="inlineStr">
        <is>
          <t>Girdiler</t>
        </is>
      </c>
    </row>
    <row r="2">
      <c r="A2" t="inlineStr">
        <is>
          <t>Mavi = girdi. Senaryo seçimi bu sayfadan; değerler config.yaml'dan (kaynaklarıyla).</t>
        </is>
      </c>
    </row>
    <row r="3"/>
    <row r="4">
      <c r="A4" s="8" t="inlineStr">
        <is>
          <t>Girdi</t>
        </is>
      </c>
      <c r="B4" s="8" t="inlineStr"/>
      <c r="C4" s="8" t="inlineStr">
        <is>
          <t>Değer</t>
        </is>
      </c>
      <c r="D4" s="8" t="inlineStr">
        <is>
          <t>Birim</t>
        </is>
      </c>
      <c r="E4" s="8" t="inlineStr">
        <is>
          <t>Kaynak / not</t>
        </is>
      </c>
    </row>
    <row r="5">
      <c r="A5" s="9" t="inlineStr">
        <is>
          <t>Senaryo seçimi</t>
        </is>
      </c>
    </row>
    <row r="6">
      <c r="A6" t="inlineStr">
        <is>
          <t>Gelir yapısı</t>
        </is>
      </c>
      <c r="C6" s="10" t="inlineStr">
        <is>
          <t>YEKDEM nominal</t>
        </is>
      </c>
      <c r="D6" t="inlineStr">
        <is>
          <t>liste</t>
        </is>
      </c>
      <c r="E6" t="inlineStr">
        <is>
          <t>Baz vaka: YEKDEM yıllık opsiyonu (nominal koridor) + tüccar</t>
        </is>
      </c>
    </row>
    <row r="7">
      <c r="A7" t="inlineStr">
        <is>
          <t>Fiyat seviyesi</t>
        </is>
      </c>
      <c r="C7" s="10" t="inlineStr">
        <is>
          <t>Baz</t>
        </is>
      </c>
      <c r="D7" t="inlineStr">
        <is>
          <t>liste</t>
        </is>
      </c>
      <c r="E7" t="inlineStr">
        <is>
          <t>Düşük 45 / Baz 58 / Yüksek 72 USD/MWh (reel)</t>
        </is>
      </c>
    </row>
    <row r="8">
      <c r="A8" t="inlineStr">
        <is>
          <t>Üretim durumu</t>
        </is>
      </c>
      <c r="C8" s="10" t="inlineStr">
        <is>
          <t>P50</t>
        </is>
      </c>
      <c r="D8" t="inlineStr">
        <is>
          <t>liste</t>
        </is>
      </c>
      <c r="E8" t="inlineStr">
        <is>
          <t>P90 = 10 yıllık P90/P50 = 0,94 (Aşama 5)</t>
        </is>
      </c>
    </row>
    <row r="9">
      <c r="A9" t="inlineStr">
        <is>
          <t>Yatırım teşvik belgesi</t>
        </is>
      </c>
      <c r="C9" s="10" t="inlineStr">
        <is>
          <t>Var</t>
        </is>
      </c>
      <c r="D9" t="inlineStr">
        <is>
          <t>liste</t>
        </is>
      </c>
      <c r="E9" t="inlineStr">
        <is>
          <t>CK 9903: KDV istisnası; yoksa KDV ön finansmanı</t>
        </is>
      </c>
    </row>
    <row r="10">
      <c r="A10" t="inlineStr">
        <is>
          <t>Sigorta + arazi çift sayımı (v1 düzeltme notu)</t>
        </is>
      </c>
      <c r="C10" s="10" t="inlineStr">
        <is>
          <t>v1 (çift sayımlı)</t>
        </is>
      </c>
      <c r="D10" t="inlineStr">
        <is>
          <t>liste</t>
        </is>
      </c>
      <c r="E10" t="inlineStr">
        <is>
          <t>v1: RES O&amp;M 35.000 $/MW-yıl (Lazard, her şey dahil) + ayrıca RES arazi ve RES sigortası. Düzeltilmiş: bu iki RES kalemi düşülür (docs/v1_duzeltme_notu.md)</t>
        </is>
      </c>
    </row>
    <row r="11">
      <c r="A11" t="inlineStr">
        <is>
          <t>Edinim primi (bugünkü değer)</t>
        </is>
      </c>
      <c r="C11" s="11" t="n">
        <v>0</v>
      </c>
      <c r="D11" t="inlineStr">
        <is>
          <t>USD</t>
        </is>
      </c>
      <c r="E11" t="inlineStr">
        <is>
          <t>t = 0'da ödenir; azami prim = primsiz NPV</t>
        </is>
      </c>
    </row>
    <row r="12">
      <c r="A12" t="inlineStr">
        <is>
          <t>COD yılı (ticari işletme başlangıcı)</t>
        </is>
      </c>
      <c r="C12" s="12" t="n">
        <v>2030</v>
      </c>
      <c r="D12" t="inlineStr">
        <is>
          <t>yıl</t>
        </is>
      </c>
      <c r="E12" t="inlineStr">
        <is>
          <t>Takvim P50 Kasım 2029 → yıllık modelde 2030 (Python_girdileri bu COD için)</t>
        </is>
      </c>
    </row>
    <row r="13"/>
    <row r="14">
      <c r="A14" s="9" t="inlineStr">
        <is>
          <t>Fiyat seviyeleri</t>
        </is>
      </c>
    </row>
    <row r="15">
      <c r="A15" t="inlineStr">
        <is>
          <t>Fiyat seviyesi — Düşük</t>
        </is>
      </c>
      <c r="C15" s="13" t="n">
        <v>45</v>
      </c>
      <c r="D15" t="inlineStr">
        <is>
          <t>USD/MWh</t>
        </is>
      </c>
      <c r="E15" t="inlineStr">
        <is>
          <t>config: fiyat_senaryolari.seviye</t>
        </is>
      </c>
    </row>
    <row r="16">
      <c r="A16" t="inlineStr">
        <is>
          <t>Fiyat seviyesi — Baz</t>
        </is>
      </c>
      <c r="C16" s="13" t="n">
        <v>58</v>
      </c>
      <c r="D16" t="inlineStr">
        <is>
          <t>USD/MWh</t>
        </is>
      </c>
      <c r="E16" t="inlineStr">
        <is>
          <t>config: fiyat_senaryolari.seviye</t>
        </is>
      </c>
    </row>
    <row r="17">
      <c r="A17" t="inlineStr">
        <is>
          <t>Fiyat seviyesi — Yüksek</t>
        </is>
      </c>
      <c r="C17" s="13" t="n">
        <v>72</v>
      </c>
      <c r="D17" t="inlineStr">
        <is>
          <t>USD/MWh</t>
        </is>
      </c>
      <c r="E17" t="inlineStr">
        <is>
          <t>config: fiyat_senaryolari.seviye</t>
        </is>
      </c>
    </row>
    <row r="18">
      <c r="A18" t="inlineStr">
        <is>
          <t>Seçilen fiyat seviyesi L</t>
        </is>
      </c>
      <c r="C18">
        <f>IF(Girdiler!$C$7="Düşük",Girdiler!$C$15,IF(Girdiler!$C$7="Yüksek",Girdiler!$C$17,Girdiler!$C$16))</f>
        <v/>
      </c>
      <c r="D18" t="inlineStr">
        <is>
          <t>USD/MWh</t>
        </is>
      </c>
    </row>
    <row r="19">
      <c r="A19" t="inlineStr">
        <is>
          <t>Yapı indeksi (1 Tüccar, 2 PPA, 3 YEKDEM nom., 4 YEKDEM end.)</t>
        </is>
      </c>
      <c r="C19">
        <f>(Girdiler!$C$6="Tüccar")*1+(Girdiler!$C$6="PPA")*2+(Girdiler!$C$6="YEKDEM nominal")*3+(Girdiler!$C$6="YEKDEM endeksli")*4</f>
        <v/>
      </c>
    </row>
    <row r="20">
      <c r="A20" t="inlineStr">
        <is>
          <t>Çift sayım düzeltmesi açık mı? (1 = düzeltilmiş)</t>
        </is>
      </c>
      <c r="C20">
        <f>IF(Girdiler!$C$10="Düzeltilmiş",1,0)</f>
        <v/>
      </c>
    </row>
    <row r="21">
      <c r="A21" t="inlineStr">
        <is>
          <t>Senaryo anahtarı (mutabakat)</t>
        </is>
      </c>
      <c r="C21">
        <f>Girdiler!$C$6&amp;"|"&amp;Girdiler!$C$7&amp;"|"&amp;Girdiler!$C$8&amp;"|"&amp;Girdiler!$C$9&amp;IF(Girdiler!$C$20=1,"|Düzeltilmiş","")</f>
        <v/>
      </c>
    </row>
    <row r="22"/>
    <row r="23">
      <c r="A23" s="9" t="inlineStr">
        <is>
          <t>Tasarım</t>
        </is>
      </c>
    </row>
    <row r="24">
      <c r="A24" t="inlineStr">
        <is>
          <t>RES kurulu gücü (14 × 4,2 MW)</t>
        </is>
      </c>
      <c r="C24" s="13" t="n">
        <v>58.8</v>
      </c>
      <c r="D24" t="inlineStr">
        <is>
          <t>MW</t>
        </is>
      </c>
      <c r="E24" t="inlineStr">
        <is>
          <t>Aşama 4 optimizasyonu</t>
        </is>
      </c>
    </row>
    <row r="25">
      <c r="A25" t="inlineStr">
        <is>
          <t>Batarya gücü</t>
        </is>
      </c>
      <c r="C25" s="13" t="n">
        <v>30</v>
      </c>
      <c r="D25" t="inlineStr">
        <is>
          <t>MW</t>
        </is>
      </c>
      <c r="E25" t="inlineStr">
        <is>
          <t>Ö1: tam 30 MW SFK rezervi için 2 saat</t>
        </is>
      </c>
    </row>
    <row r="26">
      <c r="A26" t="inlineStr">
        <is>
          <t>Batarya enerjisi</t>
        </is>
      </c>
      <c r="C26" s="13" t="n">
        <v>60</v>
      </c>
      <c r="D26" t="inlineStr">
        <is>
          <t>MWh</t>
        </is>
      </c>
      <c r="E26" t="inlineStr"/>
    </row>
    <row r="27">
      <c r="A27" t="inlineStr">
        <is>
          <t>Şebeke bağlantısı</t>
        </is>
      </c>
      <c r="C27" s="13" t="n">
        <v>50</v>
      </c>
      <c r="D27" t="inlineStr">
        <is>
          <t>MW</t>
        </is>
      </c>
      <c r="E27" t="inlineStr"/>
    </row>
    <row r="28"/>
    <row r="29">
      <c r="A29" s="9" t="inlineStr">
        <is>
          <t>CAPEX ve teknik</t>
        </is>
      </c>
    </row>
    <row r="30">
      <c r="A30" t="inlineStr">
        <is>
          <t>RES CAPEX</t>
        </is>
      </c>
      <c r="C30" s="11" t="n">
        <v>1150000</v>
      </c>
      <c r="D30" t="inlineStr">
        <is>
          <t>USD/MW</t>
        </is>
      </c>
      <c r="E30" t="inlineStr">
        <is>
          <t>config: teknoloji.res.capex (IRENA/BNEF)</t>
        </is>
      </c>
    </row>
    <row r="31">
      <c r="A31" t="inlineStr">
        <is>
          <t>Batarya CAPEX — enerji</t>
        </is>
      </c>
      <c r="C31" s="11" t="n">
        <v>110000</v>
      </c>
      <c r="D31" t="inlineStr">
        <is>
          <t>USD/MWh</t>
        </is>
      </c>
      <c r="E31" t="inlineStr">
        <is>
          <t>config: teknoloji.bess.capex_enerji</t>
        </is>
      </c>
    </row>
    <row r="32">
      <c r="A32" t="inlineStr">
        <is>
          <t>Batarya CAPEX — güç</t>
        </is>
      </c>
      <c r="C32" s="11" t="n">
        <v>90000</v>
      </c>
      <c r="D32" t="inlineStr">
        <is>
          <t>USD/MW</t>
        </is>
      </c>
      <c r="E32" t="inlineStr">
        <is>
          <t>config: teknoloji.bess.capex_guc</t>
        </is>
      </c>
    </row>
    <row r="33">
      <c r="A33" t="inlineStr">
        <is>
          <t>Şebeke CAPEX</t>
        </is>
      </c>
      <c r="C33" s="11" t="n">
        <v>120000</v>
      </c>
      <c r="D33" t="inlineStr">
        <is>
          <t>USD/MW</t>
        </is>
      </c>
      <c r="E33" t="inlineStr">
        <is>
          <t>config: teknoloji.sebeke.capex</t>
        </is>
      </c>
    </row>
    <row r="34">
      <c r="A34" t="inlineStr">
        <is>
          <t>CAPEX takvimi — 1. inşaat yılı</t>
        </is>
      </c>
      <c r="C34" s="13" t="n">
        <v>0.4</v>
      </c>
      <c r="D34" t="inlineStr">
        <is>
          <t>pay</t>
        </is>
      </c>
      <c r="E34" t="inlineStr">
        <is>
          <t>config: proje.capex_takvimi</t>
        </is>
      </c>
    </row>
    <row r="35">
      <c r="A35" t="inlineStr">
        <is>
          <t>CAPEX takvimi — 2. inşaat yılı</t>
        </is>
      </c>
      <c r="C35" s="13" t="n">
        <v>0.6</v>
      </c>
      <c r="D35" t="inlineStr">
        <is>
          <t>pay</t>
        </is>
      </c>
      <c r="E35" t="inlineStr"/>
    </row>
    <row r="36">
      <c r="A36" t="inlineStr">
        <is>
          <t>İşletme ömrü</t>
        </is>
      </c>
      <c r="C36" s="12" t="n">
        <v>30</v>
      </c>
      <c r="D36" t="inlineStr">
        <is>
          <t>yıl</t>
        </is>
      </c>
      <c r="E36" t="inlineStr"/>
    </row>
    <row r="37"/>
    <row r="38">
      <c r="A38" s="9" t="inlineStr">
        <is>
          <t>İşletme giderleri</t>
        </is>
      </c>
    </row>
    <row r="39">
      <c r="A39" t="inlineStr">
        <is>
          <t>RES sabit O&amp;M</t>
        </is>
      </c>
      <c r="C39" s="11" t="n">
        <v>35000</v>
      </c>
      <c r="D39" t="inlineStr">
        <is>
          <t>USD/MW-yıl</t>
        </is>
      </c>
      <c r="E39" t="inlineStr">
        <is>
          <t>config</t>
        </is>
      </c>
    </row>
    <row r="40">
      <c r="A40" t="inlineStr">
        <is>
          <t>RES arazi</t>
        </is>
      </c>
      <c r="C40" s="11" t="n">
        <v>1500</v>
      </c>
      <c r="D40" t="inlineStr">
        <is>
          <t>USD/MW-yıl</t>
        </is>
      </c>
      <c r="E40" t="inlineStr">
        <is>
          <t>config</t>
        </is>
      </c>
    </row>
    <row r="41">
      <c r="A41" t="inlineStr">
        <is>
          <t>Batarya O&amp;M (CAPEX'e oran)</t>
        </is>
      </c>
      <c r="C41" s="13" t="n">
        <v>0.025</v>
      </c>
      <c r="D41" t="inlineStr">
        <is>
          <t>oran</t>
        </is>
      </c>
      <c r="E41" t="inlineStr">
        <is>
          <t>config</t>
        </is>
      </c>
    </row>
    <row r="42">
      <c r="A42" t="inlineStr">
        <is>
          <t>Sigorta (CAPEX'e oran)</t>
        </is>
      </c>
      <c r="C42" s="14" t="n">
        <v>0.0035</v>
      </c>
      <c r="D42" t="inlineStr">
        <is>
          <t>oran</t>
        </is>
      </c>
      <c r="E42" t="inlineStr">
        <is>
          <t>config</t>
        </is>
      </c>
    </row>
    <row r="43">
      <c r="A43" t="inlineStr">
        <is>
          <t>TEİAŞ kapasite bedeli</t>
        </is>
      </c>
      <c r="C43" s="11" t="n">
        <v>3470</v>
      </c>
      <c r="D43" t="inlineStr">
        <is>
          <t>USD/MW-yıl</t>
        </is>
      </c>
      <c r="E43" t="inlineStr">
        <is>
          <t>config</t>
        </is>
      </c>
    </row>
    <row r="44">
      <c r="A44" t="inlineStr">
        <is>
          <t>TEİAŞ enerji bedeli</t>
        </is>
      </c>
      <c r="C44" s="13" t="n">
        <v>3.8</v>
      </c>
      <c r="D44" t="inlineStr">
        <is>
          <t>USD/MWh</t>
        </is>
      </c>
      <c r="E44" t="inlineStr">
        <is>
          <t>config</t>
        </is>
      </c>
    </row>
    <row r="45">
      <c r="A45" t="inlineStr">
        <is>
          <t>Batarya yıpranma maliyeti</t>
        </is>
      </c>
      <c r="C45" s="13" t="n">
        <v>6</v>
      </c>
      <c r="D45" t="inlineStr">
        <is>
          <t>USD/MWh deşarj</t>
        </is>
      </c>
      <c r="E45" t="inlineStr">
        <is>
          <t>config</t>
        </is>
      </c>
    </row>
    <row r="46">
      <c r="A46" t="inlineStr">
        <is>
          <t>RES dengesizlik maliyeti (gelire oran)</t>
        </is>
      </c>
      <c r="C46" s="13" t="n">
        <v>0.04</v>
      </c>
      <c r="D46" t="inlineStr">
        <is>
          <t>oran</t>
        </is>
      </c>
      <c r="E46" t="inlineStr">
        <is>
          <t>config; YEKDEM'de de tesiste (YEK Yön. md. 18)</t>
        </is>
      </c>
    </row>
    <row r="47">
      <c r="A47" t="inlineStr">
        <is>
          <t>Eşzamanlılık düzeltmesi (RES, tüccar payı)</t>
        </is>
      </c>
      <c r="C47" s="13" t="n">
        <v>0.048</v>
      </c>
      <c r="D47" t="inlineStr">
        <is>
          <t>oran</t>
        </is>
      </c>
      <c r="E47" t="inlineStr">
        <is>
          <t>config</t>
        </is>
      </c>
    </row>
    <row r="48">
      <c r="A48" t="inlineStr">
        <is>
          <t>YEK-G geliri</t>
        </is>
      </c>
      <c r="C48" s="13" t="n">
        <v>0.1</v>
      </c>
      <c r="D48" t="inlineStr">
        <is>
          <t>USD/MWh</t>
        </is>
      </c>
      <c r="E48" t="inlineStr">
        <is>
          <t>EPİAŞ YEK-G</t>
        </is>
      </c>
    </row>
    <row r="49">
      <c r="A49" t="inlineStr">
        <is>
          <t>Dengesizlik azaltımı — azami oran</t>
        </is>
      </c>
      <c r="C49" s="13" t="n">
        <v>0.6</v>
      </c>
      <c r="D49" t="inlineStr">
        <is>
          <t>oran</t>
        </is>
      </c>
      <c r="E49" t="inlineStr">
        <is>
          <t>TAHMİN</t>
        </is>
      </c>
    </row>
    <row r="50">
      <c r="A50" t="inlineStr">
        <is>
          <t>Dengesizlik azaltımı — doyum (batarya/RES MW)</t>
        </is>
      </c>
      <c r="C50" s="13" t="n">
        <v>0.2</v>
      </c>
      <c r="D50" t="inlineStr">
        <is>
          <t>oran</t>
        </is>
      </c>
      <c r="E50" t="inlineStr">
        <is>
          <t>TAHMİN</t>
        </is>
      </c>
    </row>
    <row r="51">
      <c r="A51" t="inlineStr">
        <is>
          <t>Augmentation (8, 16, 28. yıl; enerji CAPEX'ine oran)</t>
        </is>
      </c>
      <c r="C51" s="13" t="n">
        <v>0.2</v>
      </c>
      <c r="D51" t="inlineStr">
        <is>
          <t>oran</t>
        </is>
      </c>
      <c r="E51" t="inlineStr">
        <is>
          <t>config</t>
        </is>
      </c>
    </row>
    <row r="52">
      <c r="A52" t="inlineStr">
        <is>
          <t>Batarya maliyet düşüşü (aug/yenileme)</t>
        </is>
      </c>
      <c r="C52" s="13" t="n">
        <v>0.03</v>
      </c>
      <c r="D52" t="inlineStr">
        <is>
          <t>oran/yıl</t>
        </is>
      </c>
      <c r="E52" t="inlineStr">
        <is>
          <t>config</t>
        </is>
      </c>
    </row>
    <row r="53">
      <c r="A53" t="inlineStr">
        <is>
          <t>Batarya ömrü (yenileme yılı)</t>
        </is>
      </c>
      <c r="C53" s="12" t="n">
        <v>20</v>
      </c>
      <c r="D53" t="inlineStr">
        <is>
          <t>yıl</t>
        </is>
      </c>
      <c r="E53" t="inlineStr">
        <is>
          <t>config</t>
        </is>
      </c>
    </row>
    <row r="54">
      <c r="A54" t="inlineStr">
        <is>
          <t>Söküm — batarya</t>
        </is>
      </c>
      <c r="C54" s="11" t="n">
        <v>10000</v>
      </c>
      <c r="D54" t="inlineStr">
        <is>
          <t>USD/MWh</t>
        </is>
      </c>
      <c r="E54" t="inlineStr">
        <is>
          <t>config</t>
        </is>
      </c>
    </row>
    <row r="55">
      <c r="A55" t="inlineStr">
        <is>
          <t>Söküm — RES (net)</t>
        </is>
      </c>
      <c r="C55" s="11" t="n">
        <v>0</v>
      </c>
      <c r="D55" t="inlineStr">
        <is>
          <t>USD/MW</t>
        </is>
      </c>
      <c r="E55" t="inlineStr">
        <is>
          <t>config</t>
        </is>
      </c>
    </row>
    <row r="56"/>
    <row r="57">
      <c r="A57" s="9" t="inlineStr">
        <is>
          <t>Sistem kesintisi (TEİAŞ YAT)</t>
        </is>
      </c>
    </row>
    <row r="58">
      <c r="A58" t="inlineStr">
        <is>
          <t>Tazmin oranı (beklenen)</t>
        </is>
      </c>
      <c r="C58" s="13" t="n">
        <v>0.5</v>
      </c>
      <c r="D58" t="inlineStr">
        <is>
          <t>oran</t>
        </is>
      </c>
      <c r="E58" t="inlineStr">
        <is>
          <t>TAHMİN, U(0,1) ortalaması (docs/07 §1)</t>
        </is>
      </c>
    </row>
    <row r="59">
      <c r="A59" t="inlineStr">
        <is>
          <t>Kesilen enerjinin değer faktörü / PTF_talimat/YEKF</t>
        </is>
      </c>
      <c r="C59" s="13" t="n">
        <v>0.8933217692974849</v>
      </c>
      <c r="D59" t="inlineStr">
        <is>
          <t>oran</t>
        </is>
      </c>
      <c r="E59" t="inlineStr">
        <is>
          <t>Talimat saatlerinde fiyat ortalamanın altında</t>
        </is>
      </c>
    </row>
    <row r="60">
      <c r="A60" t="inlineStr">
        <is>
          <t>Batarya kurtarma payı — tüccar (gelir)</t>
        </is>
      </c>
      <c r="C60" s="13" t="n">
        <v>0.1576</v>
      </c>
      <c r="D60" t="inlineStr">
        <is>
          <t>oran</t>
        </is>
      </c>
      <c r="E60" t="inlineStr">
        <is>
          <t>Kesinti LP'si</t>
        </is>
      </c>
    </row>
    <row r="61">
      <c r="A61" t="inlineStr">
        <is>
          <t>Batarya kurtarma payı — YEKDEM (enerji)</t>
        </is>
      </c>
      <c r="C61" s="13" t="n">
        <v>0.35</v>
      </c>
      <c r="D61" t="inlineStr">
        <is>
          <t>oran</t>
        </is>
      </c>
      <c r="E61" t="inlineStr">
        <is>
          <t>Kurtarılan enerji YEKDEM fiyatından ödenir</t>
        </is>
      </c>
    </row>
    <row r="62"/>
    <row r="63">
      <c r="A63" s="9" t="inlineStr">
        <is>
          <t>Gelir yapıları</t>
        </is>
      </c>
    </row>
    <row r="64">
      <c r="A64" t="inlineStr">
        <is>
          <t>PPA payı (%70 × P90/P50)</t>
        </is>
      </c>
      <c r="C64" s="13" t="n">
        <v>0.6579999999999999</v>
      </c>
      <c r="D64" t="inlineStr">
        <is>
          <t>oran</t>
        </is>
      </c>
      <c r="E64" t="inlineStr">
        <is>
          <t>config: gelir_yigini.ppa</t>
        </is>
      </c>
    </row>
    <row r="65">
      <c r="A65" t="inlineStr">
        <is>
          <t>PPA süresi</t>
        </is>
      </c>
      <c r="C65" s="12" t="n">
        <v>12</v>
      </c>
      <c r="D65" t="inlineStr">
        <is>
          <t>yıl</t>
        </is>
      </c>
      <c r="E65" t="inlineStr"/>
    </row>
    <row r="66">
      <c r="A66" t="inlineStr">
        <is>
          <t>PPA fiyatı (58 × (1 − %10))</t>
        </is>
      </c>
      <c r="C66" s="13" t="n">
        <v>52.2</v>
      </c>
      <c r="D66" t="inlineStr">
        <is>
          <t>USD/MWh</t>
        </is>
      </c>
      <c r="E66" t="inlineStr">
        <is>
          <t>TAHMİN iskonto</t>
        </is>
      </c>
    </row>
    <row r="67">
      <c r="A67" t="inlineStr">
        <is>
          <t>YEKDEM nominal fiyatı (koridor içi, beklenen)</t>
        </is>
      </c>
      <c r="C67" s="13" t="n">
        <v>5.600000000000001</v>
      </c>
      <c r="D67" t="inlineStr">
        <is>
          <t>USD ¢/kWh</t>
        </is>
      </c>
      <c r="E67" t="inlineStr">
        <is>
          <t>CK 7189: 4,95–6,05; üçgen ortalaması</t>
        </is>
      </c>
    </row>
    <row r="68">
      <c r="A68" t="inlineStr">
        <is>
          <t>YEKDEM hak süresi (COD'dan)</t>
        </is>
      </c>
      <c r="C68" s="12" t="n">
        <v>10</v>
      </c>
      <c r="D68" t="inlineStr">
        <is>
          <t>yıl</t>
        </is>
      </c>
      <c r="E68" t="inlineStr">
        <is>
          <t>YEK Yön. md. 8/1</t>
        </is>
      </c>
    </row>
    <row r="69">
      <c r="A69" t="inlineStr">
        <is>
          <t>YEKDEM katılım eşiği (YEKDEM reel &gt; eşik × beklenen PTF)</t>
        </is>
      </c>
      <c r="C69" s="15" t="n">
        <v>1.066</v>
      </c>
      <c r="D69" t="inlineStr">
        <is>
          <t>kat</t>
        </is>
      </c>
      <c r="E69" t="inlineStr">
        <is>
          <t>config: yekdem_opsiyon (karar 30 Kasım t−1)</t>
        </is>
      </c>
    </row>
    <row r="70"/>
    <row r="71">
      <c r="A71" s="9" t="inlineStr">
        <is>
          <t>Finansman ve vergi</t>
        </is>
      </c>
    </row>
    <row r="72">
      <c r="A72" t="inlineStr">
        <is>
          <t>Reel WACC</t>
        </is>
      </c>
      <c r="C72" s="16" t="n">
        <v>0.07000000000000001</v>
      </c>
      <c r="D72" t="inlineStr">
        <is>
          <t>oran</t>
        </is>
      </c>
      <c r="E72" t="inlineStr">
        <is>
          <t>config</t>
        </is>
      </c>
    </row>
    <row r="73">
      <c r="A73" t="inlineStr">
        <is>
          <t>ABD enflasyonu</t>
        </is>
      </c>
      <c r="C73" s="16" t="n">
        <v>0.025</v>
      </c>
      <c r="D73" t="inlineStr">
        <is>
          <t>oran</t>
        </is>
      </c>
      <c r="E73" t="inlineStr">
        <is>
          <t>config</t>
        </is>
      </c>
    </row>
    <row r="74">
      <c r="A74" t="inlineStr">
        <is>
          <t>Kurumlar vergisi</t>
        </is>
      </c>
      <c r="C74" s="17" t="n">
        <v>0.25</v>
      </c>
      <c r="D74" t="inlineStr">
        <is>
          <t>oran</t>
        </is>
      </c>
      <c r="E74" t="inlineStr">
        <is>
          <t>config</t>
        </is>
      </c>
    </row>
    <row r="75">
      <c r="A75" t="inlineStr">
        <is>
          <t>Amortisman süresi</t>
        </is>
      </c>
      <c r="C75" s="12" t="n">
        <v>10</v>
      </c>
      <c r="D75" t="inlineStr">
        <is>
          <t>yıl</t>
        </is>
      </c>
      <c r="E75" t="inlineStr">
        <is>
          <t>config (tüm sınıflar 10 yıl)</t>
        </is>
      </c>
    </row>
    <row r="76">
      <c r="A76" t="inlineStr">
        <is>
          <t>Hedef DSCR — tüccar payı</t>
        </is>
      </c>
      <c r="C76" s="13" t="n">
        <v>1.3</v>
      </c>
      <c r="D76" t="inlineStr">
        <is>
          <t>kat</t>
        </is>
      </c>
      <c r="E76" t="inlineStr">
        <is>
          <t>config: borc</t>
        </is>
      </c>
    </row>
    <row r="77">
      <c r="A77" t="inlineStr">
        <is>
          <t>Hedef DSCR — sözleşmeli pay (PPA/YEKDEM)</t>
        </is>
      </c>
      <c r="C77" s="13" t="n">
        <v>1.2</v>
      </c>
      <c r="D77" t="inlineStr">
        <is>
          <t>kat</t>
        </is>
      </c>
      <c r="E77" t="inlineStr">
        <is>
          <t>config: gelir_yigini.ppa.dscr</t>
        </is>
      </c>
    </row>
    <row r="78">
      <c r="A78" t="inlineStr">
        <is>
          <t>Borç vadesi (tüccar/YEKDEM)</t>
        </is>
      </c>
      <c r="C78" s="12" t="n">
        <v>15</v>
      </c>
      <c r="D78" t="inlineStr">
        <is>
          <t>yıl</t>
        </is>
      </c>
      <c r="E78" t="inlineStr">
        <is>
          <t>config: borc.vade</t>
        </is>
      </c>
    </row>
    <row r="79">
      <c r="A79" t="inlineStr">
        <is>
          <t>Borç vadesi (PPA)</t>
        </is>
      </c>
      <c r="C79" s="12" t="n">
        <v>18</v>
      </c>
      <c r="D79" t="inlineStr">
        <is>
          <t>yıl</t>
        </is>
      </c>
      <c r="E79" t="inlineStr">
        <is>
          <t>config: gelir_yigini.ppa.borc_vadesi</t>
        </is>
      </c>
    </row>
    <row r="80">
      <c r="A80" t="inlineStr">
        <is>
          <t>Nominal faiz</t>
        </is>
      </c>
      <c r="C80" s="16" t="n">
        <v>0.08</v>
      </c>
      <c r="D80" t="inlineStr">
        <is>
          <t>oran</t>
        </is>
      </c>
      <c r="E80" t="inlineStr">
        <is>
          <t>config</t>
        </is>
      </c>
    </row>
    <row r="81">
      <c r="A81" t="inlineStr">
        <is>
          <t>Azami borç / CAPEX</t>
        </is>
      </c>
      <c r="C81" s="17" t="n">
        <v>0.75</v>
      </c>
      <c r="D81" t="inlineStr">
        <is>
          <t>oran</t>
        </is>
      </c>
      <c r="E81" t="inlineStr">
        <is>
          <t>config</t>
        </is>
      </c>
    </row>
    <row r="82">
      <c r="A82" t="inlineStr">
        <is>
          <t>KDV oranı</t>
        </is>
      </c>
      <c r="C82" s="17" t="n">
        <v>0.2</v>
      </c>
      <c r="D82" t="inlineStr">
        <is>
          <t>oran</t>
        </is>
      </c>
      <c r="E82" t="inlineStr">
        <is>
          <t>config: tesvik</t>
        </is>
      </c>
    </row>
    <row r="83">
      <c r="A83" t="inlineStr">
        <is>
          <t>KDV'ye tabi CAPEX payı</t>
        </is>
      </c>
      <c r="C83" s="13" t="n">
        <v>0.85</v>
      </c>
      <c r="D83" t="inlineStr">
        <is>
          <t>oran</t>
        </is>
      </c>
      <c r="E83" t="inlineStr">
        <is>
          <t>TAHMİN</t>
        </is>
      </c>
    </row>
    <row r="84">
      <c r="A84" t="inlineStr">
        <is>
          <t>Devreden KDV'nin reel aşınması</t>
        </is>
      </c>
      <c r="C84" s="13" t="n">
        <v>0.2</v>
      </c>
      <c r="D84" t="inlineStr">
        <is>
          <t>oran/yıl</t>
        </is>
      </c>
      <c r="E84" t="inlineStr">
        <is>
          <t>TAHMİN (TL)</t>
        </is>
      </c>
    </row>
    <row r="85"/>
    <row r="86">
      <c r="A86" s="9" t="inlineStr">
        <is>
          <t>Türetilmiş</t>
        </is>
      </c>
    </row>
    <row r="87">
      <c r="A87" t="inlineStr">
        <is>
          <t>RES CAPEX toplam</t>
        </is>
      </c>
      <c r="C87" s="18">
        <f>Girdiler!$C$24*Girdiler!$C$30</f>
        <v/>
      </c>
      <c r="D87" t="inlineStr">
        <is>
          <t>USD</t>
        </is>
      </c>
    </row>
    <row r="88">
      <c r="A88" t="inlineStr">
        <is>
          <t>Batarya CAPEX toplam</t>
        </is>
      </c>
      <c r="C88" s="18">
        <f>Girdiler!$C$25*Girdiler!$C$32+Girdiler!$C$26*Girdiler!$C$31</f>
        <v/>
      </c>
      <c r="D88" t="inlineStr">
        <is>
          <t>USD</t>
        </is>
      </c>
    </row>
    <row r="89">
      <c r="A89" t="inlineStr">
        <is>
          <t>Şebeke CAPEX toplam</t>
        </is>
      </c>
      <c r="C89" s="18">
        <f>Girdiler!$C$27*Girdiler!$C$33</f>
        <v/>
      </c>
      <c r="D89" t="inlineStr">
        <is>
          <t>USD</t>
        </is>
      </c>
    </row>
    <row r="90">
      <c r="A90" t="inlineStr">
        <is>
          <t>CAPEX toplam</t>
        </is>
      </c>
      <c r="C90" s="18">
        <f>Girdiler!$C$87+Girdiler!$C$88+Girdiler!$C$89</f>
        <v/>
      </c>
      <c r="D90" t="inlineStr">
        <is>
          <t>USD</t>
        </is>
      </c>
    </row>
    <row r="91">
      <c r="A91" t="inlineStr">
        <is>
          <t>Yapı YEKDEM mi?</t>
        </is>
      </c>
      <c r="C91">
        <f>IF(Girdiler!$C$19&gt;=3,1,0)</f>
        <v/>
      </c>
    </row>
    <row r="92">
      <c r="A92" t="inlineStr">
        <is>
          <t>Borç vadesi (seçilen yapı)</t>
        </is>
      </c>
      <c r="C92">
        <f>IF(Girdiler!$C$19=2,Girdiler!$C$79,Girdiler!$C$78)</f>
        <v/>
      </c>
    </row>
    <row r="93">
      <c r="A93" t="inlineStr">
        <is>
          <t>Nominal CAPEX (borç tavanı için)</t>
        </is>
      </c>
      <c r="C93" s="18">
        <f>Girdiler!$C$90*(Girdiler!$C$34*(1+Girdiler!$C$73)+Girdiler!$C$35*(1+Girdiler!$C$73)^2)</f>
        <v/>
      </c>
    </row>
  </sheetData>
  <dataValidations count="5">
    <dataValidation sqref="C6" showDropDown="0" showInputMessage="0" showErrorMessage="0" allowBlank="0" type="list">
      <formula1>"Tüccar,PPA,YEKDEM nominal,YEKDEM endeksli"</formula1>
    </dataValidation>
    <dataValidation sqref="C7" showDropDown="0" showInputMessage="0" showErrorMessage="0" allowBlank="0" type="list">
      <formula1>"Düşük,Baz,Yüksek"</formula1>
    </dataValidation>
    <dataValidation sqref="C8" showDropDown="0" showInputMessage="0" showErrorMessage="0" allowBlank="0" type="list">
      <formula1>"P50,P90"</formula1>
    </dataValidation>
    <dataValidation sqref="C9" showDropDown="0" showInputMessage="0" showErrorMessage="0" allowBlank="0" type="list">
      <formula1>"Var,Yok"</formula1>
    </dataValidation>
    <dataValidation sqref="C10" showDropDown="0" showInputMessage="0" showErrorMessage="0" allowBlank="0" type="list">
      <formula1>"v1 (çift sayımlı),Düzeltilmiş"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3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>
      <c r="A1" s="19" t="inlineStr">
        <is>
          <t>Python girdileri — saatlik dispatch LP'lerinden yıllık birim büyüklükler (işletme yılı 1–30, COD 2030)</t>
        </is>
      </c>
    </row>
    <row r="2">
      <c r="A2" t="inlineStr">
        <is>
          <t>Kaynak: src/08_excel_model.py → src/risk/degerleme.nakit_akislari (X matrisi). Deterministik baz: 10 hava yılı × 2 fiyat şekli ortalaması, kanibalizasyon 'devam' + ortak batarya sürücüsü, baz doyum SFK yolu, beklenen sistem kesintisi. *_q = Σ üretim × birim fiyat şekli (fiyat seviyesi 1 için; gelir = L × *_q), E_* = MWh, yh_a = SFK birimi (gelir = a × yh_a).</t>
        </is>
      </c>
    </row>
    <row r="3">
      <c r="A3" t="inlineStr">
        <is>
          <t>Rejimler: T = tüccar dispatch'i (tüccar ve finansal PPA), Y0 = YEKDEM tablosunun katılımsız dilimi, Y1 = YEKDEM'e katılım (deşarj da YEKDEM fiyatından → arbitraj yok). P90: RES çarpanı 0,94. COD değişirse bu takvim bağımlı girdiler kaydırılmaz.</t>
        </is>
      </c>
    </row>
    <row r="4"/>
    <row r="5">
      <c r="A5" s="20" t="inlineStr">
        <is>
          <t>İşletme yılı</t>
        </is>
      </c>
      <c r="B5" s="20" t="inlineStr">
        <is>
          <t>Takvim yılı (COD 2030)</t>
        </is>
      </c>
      <c r="C5" s="20" t="inlineStr">
        <is>
          <t>SFK fiyat çarpanı a</t>
        </is>
      </c>
      <c r="D5" s="20" t="inlineStr">
        <is>
          <t>Beklenen kesinti oranı κ</t>
        </is>
      </c>
      <c r="E5" s="20" t="inlineStr">
        <is>
          <t>T_P50_gelir_res_q</t>
        </is>
      </c>
      <c r="F5" s="20" t="inlineStr">
        <is>
          <t>T_P50_E_res</t>
        </is>
      </c>
      <c r="G5" s="20" t="inlineStr">
        <is>
          <t>T_P50_gelir_d_q</t>
        </is>
      </c>
      <c r="H5" s="20" t="inlineStr">
        <is>
          <t>T_P50_E_d</t>
        </is>
      </c>
      <c r="I5" s="20" t="inlineStr">
        <is>
          <t>T_P50_yh_a</t>
        </is>
      </c>
      <c r="J5" s="20" t="inlineStr">
        <is>
          <t>T_P50_rezerv</t>
        </is>
      </c>
      <c r="K5" s="20" t="inlineStr">
        <is>
          <t>T_P50_E_k</t>
        </is>
      </c>
      <c r="L5" s="20" t="inlineStr">
        <is>
          <t>T_P50_E_A</t>
        </is>
      </c>
      <c r="M5" s="20" t="inlineStr">
        <is>
          <t>T_P90_gelir_res_q</t>
        </is>
      </c>
      <c r="N5" s="20" t="inlineStr">
        <is>
          <t>T_P90_E_res</t>
        </is>
      </c>
      <c r="O5" s="20" t="inlineStr">
        <is>
          <t>T_P90_gelir_d_q</t>
        </is>
      </c>
      <c r="P5" s="20" t="inlineStr">
        <is>
          <t>T_P90_E_d</t>
        </is>
      </c>
      <c r="Q5" s="20" t="inlineStr">
        <is>
          <t>T_P90_yh_a</t>
        </is>
      </c>
      <c r="R5" s="20" t="inlineStr">
        <is>
          <t>T_P90_rezerv</t>
        </is>
      </c>
      <c r="S5" s="20" t="inlineStr">
        <is>
          <t>T_P90_E_k</t>
        </is>
      </c>
      <c r="T5" s="20" t="inlineStr">
        <is>
          <t>T_P90_E_A</t>
        </is>
      </c>
      <c r="U5" s="20" t="inlineStr">
        <is>
          <t>Y0_P50_gelir_res_q</t>
        </is>
      </c>
      <c r="V5" s="20" t="inlineStr">
        <is>
          <t>Y0_P50_E_res</t>
        </is>
      </c>
      <c r="W5" s="20" t="inlineStr">
        <is>
          <t>Y0_P50_gelir_d_q</t>
        </is>
      </c>
      <c r="X5" s="20" t="inlineStr">
        <is>
          <t>Y0_P50_E_d</t>
        </is>
      </c>
      <c r="Y5" s="20" t="inlineStr">
        <is>
          <t>Y0_P50_yh_a</t>
        </is>
      </c>
      <c r="Z5" s="20" t="inlineStr">
        <is>
          <t>Y0_P50_rezerv</t>
        </is>
      </c>
      <c r="AA5" s="20" t="inlineStr">
        <is>
          <t>Y0_P50_E_k</t>
        </is>
      </c>
      <c r="AB5" s="20" t="inlineStr">
        <is>
          <t>Y0_P50_E_A</t>
        </is>
      </c>
      <c r="AC5" s="20" t="inlineStr">
        <is>
          <t>Y0_P90_gelir_res_q</t>
        </is>
      </c>
      <c r="AD5" s="20" t="inlineStr">
        <is>
          <t>Y0_P90_E_res</t>
        </is>
      </c>
      <c r="AE5" s="20" t="inlineStr">
        <is>
          <t>Y0_P90_gelir_d_q</t>
        </is>
      </c>
      <c r="AF5" s="20" t="inlineStr">
        <is>
          <t>Y0_P90_E_d</t>
        </is>
      </c>
      <c r="AG5" s="20" t="inlineStr">
        <is>
          <t>Y0_P90_yh_a</t>
        </is>
      </c>
      <c r="AH5" s="20" t="inlineStr">
        <is>
          <t>Y0_P90_rezerv</t>
        </is>
      </c>
      <c r="AI5" s="20" t="inlineStr">
        <is>
          <t>Y0_P90_E_k</t>
        </is>
      </c>
      <c r="AJ5" s="20" t="inlineStr">
        <is>
          <t>Y0_P90_E_A</t>
        </is>
      </c>
      <c r="AK5" s="20" t="inlineStr">
        <is>
          <t>Y1_P50_gelir_res_q</t>
        </is>
      </c>
      <c r="AL5" s="20" t="inlineStr">
        <is>
          <t>Y1_P50_E_res</t>
        </is>
      </c>
      <c r="AM5" s="20" t="inlineStr">
        <is>
          <t>Y1_P50_gelir_d_q</t>
        </is>
      </c>
      <c r="AN5" s="20" t="inlineStr">
        <is>
          <t>Y1_P50_E_d</t>
        </is>
      </c>
      <c r="AO5" s="20" t="inlineStr">
        <is>
          <t>Y1_P50_yh_a</t>
        </is>
      </c>
      <c r="AP5" s="20" t="inlineStr">
        <is>
          <t>Y1_P50_rezerv</t>
        </is>
      </c>
      <c r="AQ5" s="20" t="inlineStr">
        <is>
          <t>Y1_P50_E_k</t>
        </is>
      </c>
      <c r="AR5" s="20" t="inlineStr">
        <is>
          <t>Y1_P50_E_A</t>
        </is>
      </c>
      <c r="AS5" s="20" t="inlineStr">
        <is>
          <t>Y1_P90_gelir_res_q</t>
        </is>
      </c>
      <c r="AT5" s="20" t="inlineStr">
        <is>
          <t>Y1_P90_E_res</t>
        </is>
      </c>
      <c r="AU5" s="20" t="inlineStr">
        <is>
          <t>Y1_P90_gelir_d_q</t>
        </is>
      </c>
      <c r="AV5" s="20" t="inlineStr">
        <is>
          <t>Y1_P90_E_d</t>
        </is>
      </c>
      <c r="AW5" s="20" t="inlineStr">
        <is>
          <t>Y1_P90_yh_a</t>
        </is>
      </c>
      <c r="AX5" s="20" t="inlineStr">
        <is>
          <t>Y1_P90_rezerv</t>
        </is>
      </c>
      <c r="AY5" s="20" t="inlineStr">
        <is>
          <t>Y1_P90_E_k</t>
        </is>
      </c>
      <c r="AZ5" s="20" t="inlineStr">
        <is>
          <t>Y1_P90_E_A</t>
        </is>
      </c>
    </row>
    <row r="6">
      <c r="A6" t="n">
        <v>1</v>
      </c>
      <c r="B6" t="n">
        <v>2030</v>
      </c>
      <c r="C6" s="21" t="n">
        <v>0.048463042066233</v>
      </c>
      <c r="D6" s="21" t="n">
        <v>0.06592149368835493</v>
      </c>
      <c r="E6" s="22" t="n">
        <v>178164.5430062621</v>
      </c>
      <c r="F6" s="22" t="n">
        <v>163164.268774854</v>
      </c>
      <c r="G6" s="22" t="n">
        <v>27427.27998561133</v>
      </c>
      <c r="H6" s="22" t="n">
        <v>18962.99962156496</v>
      </c>
      <c r="I6" s="22" t="n">
        <v>7333492.818245366</v>
      </c>
      <c r="J6" s="22" t="n">
        <v>145260.8554324729</v>
      </c>
      <c r="K6" s="22" t="n">
        <v>9053.859089520329</v>
      </c>
      <c r="L6" s="22" t="n">
        <v>194014.6791535294</v>
      </c>
      <c r="M6" s="22" t="n">
        <v>168171.9361842221</v>
      </c>
      <c r="N6" s="22" t="n">
        <v>152919.7565393483</v>
      </c>
      <c r="O6" s="22" t="n">
        <v>28127.38678292065</v>
      </c>
      <c r="P6" s="22" t="n">
        <v>19411.70752491971</v>
      </c>
      <c r="Q6" s="22" t="n">
        <v>7220055.235109761</v>
      </c>
      <c r="R6" s="22" t="n">
        <v>143301.9239773414</v>
      </c>
      <c r="S6" s="22" t="n">
        <v>7141.734365061663</v>
      </c>
      <c r="T6" s="22" t="n">
        <v>182373.7984043176</v>
      </c>
      <c r="U6" s="22" t="n">
        <v>178164.543006262</v>
      </c>
      <c r="V6" s="22" t="n">
        <v>163164.2687748466</v>
      </c>
      <c r="W6" s="22" t="n">
        <v>27427.27998561069</v>
      </c>
      <c r="X6" s="22" t="n">
        <v>18962.99962156395</v>
      </c>
      <c r="Y6" s="22" t="n">
        <v>7333492.818247734</v>
      </c>
      <c r="Z6" s="22" t="n">
        <v>145260.8554325107</v>
      </c>
      <c r="AA6" s="22" t="n">
        <v>9053.859089528811</v>
      </c>
      <c r="AB6" s="22" t="n">
        <v>194014.6791535294</v>
      </c>
      <c r="AC6" s="22" t="n">
        <v>168171.9361842213</v>
      </c>
      <c r="AD6" s="22" t="n">
        <v>152919.7565393391</v>
      </c>
      <c r="AE6" s="22" t="n">
        <v>28127.38678292045</v>
      </c>
      <c r="AF6" s="22" t="n">
        <v>19411.70752491908</v>
      </c>
      <c r="AG6" s="22" t="n">
        <v>7220055.235111922</v>
      </c>
      <c r="AH6" s="22" t="n">
        <v>143301.9239773812</v>
      </c>
      <c r="AI6" s="22" t="n">
        <v>7141.734365071543</v>
      </c>
      <c r="AJ6" s="22" t="n">
        <v>182373.7984043176</v>
      </c>
      <c r="AK6" s="22" t="n">
        <v>190433.5396142139</v>
      </c>
      <c r="AL6" s="22" t="n">
        <v>190908.3014101406</v>
      </c>
      <c r="AM6" s="22" t="n">
        <v>1760.939323946016</v>
      </c>
      <c r="AN6" s="22" t="n">
        <v>1562.208522071729</v>
      </c>
      <c r="AO6" s="22" t="n">
        <v>12166155.4912764</v>
      </c>
      <c r="AP6" s="22" t="n">
        <v>253578.9621149804</v>
      </c>
      <c r="AQ6" s="22" t="n">
        <v>1310.735763996038</v>
      </c>
      <c r="AR6" s="22" t="n">
        <v>194014.6791535294</v>
      </c>
      <c r="AS6" s="22" t="n">
        <v>181791.3527290047</v>
      </c>
      <c r="AT6" s="22" t="n">
        <v>182373.7984043176</v>
      </c>
      <c r="AU6" s="22" t="n">
        <v>2.221746831435531e-13</v>
      </c>
      <c r="AV6" s="22" t="n">
        <v>1.783366662899435e-13</v>
      </c>
      <c r="AW6" s="22" t="n">
        <v>12528933.17409571</v>
      </c>
      <c r="AX6" s="22" t="n">
        <v>262800</v>
      </c>
      <c r="AY6" s="22" t="n">
        <v>0</v>
      </c>
      <c r="AZ6" s="22" t="n">
        <v>182373.7984043176</v>
      </c>
    </row>
    <row r="7">
      <c r="A7" t="n">
        <v>2</v>
      </c>
      <c r="B7" t="n">
        <v>2031</v>
      </c>
      <c r="C7" s="21" t="n">
        <v>0.048463042066233</v>
      </c>
      <c r="D7" s="21" t="n">
        <v>0.06798179374798019</v>
      </c>
      <c r="E7" s="22" t="n">
        <v>176980.9550280908</v>
      </c>
      <c r="F7" s="22" t="n">
        <v>161730.8952495687</v>
      </c>
      <c r="G7" s="22" t="n">
        <v>28237.83671944575</v>
      </c>
      <c r="H7" s="22" t="n">
        <v>19330.32550690427</v>
      </c>
      <c r="I7" s="22" t="n">
        <v>7209097.655417139</v>
      </c>
      <c r="J7" s="22" t="n">
        <v>141220.4753304457</v>
      </c>
      <c r="K7" s="22" t="n">
        <v>9482.974916035442</v>
      </c>
      <c r="L7" s="22" t="n">
        <v>193432.6351160689</v>
      </c>
      <c r="M7" s="22" t="n">
        <v>166920.7762512709</v>
      </c>
      <c r="N7" s="22" t="n">
        <v>151434.3962389099</v>
      </c>
      <c r="O7" s="22" t="n">
        <v>29000.08719216253</v>
      </c>
      <c r="P7" s="22" t="n">
        <v>19820.00521245342</v>
      </c>
      <c r="Q7" s="22" t="n">
        <v>7089673.526339294</v>
      </c>
      <c r="R7" s="22" t="n">
        <v>138961.0544817126</v>
      </c>
      <c r="S7" s="22" t="n">
        <v>7610.665583466696</v>
      </c>
      <c r="T7" s="22" t="n">
        <v>181826.6770091047</v>
      </c>
      <c r="U7" s="22" t="n">
        <v>176980.9550280911</v>
      </c>
      <c r="V7" s="22" t="n">
        <v>161730.8952495618</v>
      </c>
      <c r="W7" s="22" t="n">
        <v>28237.83671944447</v>
      </c>
      <c r="X7" s="22" t="n">
        <v>19330.32550690219</v>
      </c>
      <c r="Y7" s="22" t="n">
        <v>7209097.655419694</v>
      </c>
      <c r="Z7" s="22" t="n">
        <v>141220.4753304836</v>
      </c>
      <c r="AA7" s="22" t="n">
        <v>9482.974916044803</v>
      </c>
      <c r="AB7" s="22" t="n">
        <v>193432.6351160689</v>
      </c>
      <c r="AC7" s="22" t="n">
        <v>166920.7762512702</v>
      </c>
      <c r="AD7" s="22" t="n">
        <v>151434.3962389008</v>
      </c>
      <c r="AE7" s="22" t="n">
        <v>29000.08719216213</v>
      </c>
      <c r="AF7" s="22" t="n">
        <v>19820.00521245211</v>
      </c>
      <c r="AG7" s="22" t="n">
        <v>7089673.526341895</v>
      </c>
      <c r="AH7" s="22" t="n">
        <v>138961.054481756</v>
      </c>
      <c r="AI7" s="22" t="n">
        <v>7610.665583477295</v>
      </c>
      <c r="AJ7" s="22" t="n">
        <v>181826.6770091047</v>
      </c>
      <c r="AK7" s="22" t="n">
        <v>189468.4661177119</v>
      </c>
      <c r="AL7" s="22" t="n">
        <v>190481.5762598499</v>
      </c>
      <c r="AM7" s="22" t="n">
        <v>1678.158241311764</v>
      </c>
      <c r="AN7" s="22" t="n">
        <v>1484.098095967667</v>
      </c>
      <c r="AO7" s="22" t="n">
        <v>12184294.37541735</v>
      </c>
      <c r="AP7" s="22" t="n">
        <v>254040.0140092301</v>
      </c>
      <c r="AQ7" s="22" t="n">
        <v>1245.198975796307</v>
      </c>
      <c r="AR7" s="22" t="n">
        <v>193432.6351160689</v>
      </c>
      <c r="AS7" s="22" t="n">
        <v>180721.1295621161</v>
      </c>
      <c r="AT7" s="22" t="n">
        <v>181826.6770091047</v>
      </c>
      <c r="AU7" s="22" t="n">
        <v>2.198651901264685e-13</v>
      </c>
      <c r="AV7" s="22" t="n">
        <v>1.655337970329834e-13</v>
      </c>
      <c r="AW7" s="22" t="n">
        <v>12528933.17409571</v>
      </c>
      <c r="AX7" s="22" t="n">
        <v>262800</v>
      </c>
      <c r="AY7" s="22" t="n">
        <v>0</v>
      </c>
      <c r="AZ7" s="22" t="n">
        <v>181826.6770091047</v>
      </c>
    </row>
    <row r="8">
      <c r="A8" t="n">
        <v>3</v>
      </c>
      <c r="B8" t="n">
        <v>2032</v>
      </c>
      <c r="C8" s="21" t="n">
        <v>0.048463042066233</v>
      </c>
      <c r="D8" s="21" t="n">
        <v>0.07003877233284081</v>
      </c>
      <c r="E8" s="22" t="n">
        <v>175815.0937521765</v>
      </c>
      <c r="F8" s="22" t="n">
        <v>160318.9582074952</v>
      </c>
      <c r="G8" s="22" t="n">
        <v>29036.19658809165</v>
      </c>
      <c r="H8" s="22" t="n">
        <v>19693.4211584613</v>
      </c>
      <c r="I8" s="22" t="n">
        <v>7086438.163928717</v>
      </c>
      <c r="J8" s="22" t="n">
        <v>137233.4771882421</v>
      </c>
      <c r="K8" s="22" t="n">
        <v>9897.262729131893</v>
      </c>
      <c r="L8" s="22" t="n">
        <v>192852.3372107206</v>
      </c>
      <c r="M8" s="22" t="n">
        <v>165689.954971731</v>
      </c>
      <c r="N8" s="22" t="n">
        <v>149975.9361575632</v>
      </c>
      <c r="O8" s="22" t="n">
        <v>29854.46881698578</v>
      </c>
      <c r="P8" s="22" t="n">
        <v>20219.26774559537</v>
      </c>
      <c r="Q8" s="22" t="n">
        <v>6962304.820455353</v>
      </c>
      <c r="R8" s="22" t="n">
        <v>134722.4535551218</v>
      </c>
      <c r="S8" s="22" t="n">
        <v>8064.723181898817</v>
      </c>
      <c r="T8" s="22" t="n">
        <v>181281.1969780774</v>
      </c>
      <c r="U8" s="22" t="n">
        <v>175815.0937521773</v>
      </c>
      <c r="V8" s="22" t="n">
        <v>160318.9582074886</v>
      </c>
      <c r="W8" s="22" t="n">
        <v>29036.19658808978</v>
      </c>
      <c r="X8" s="22" t="n">
        <v>19693.42115845823</v>
      </c>
      <c r="Y8" s="22" t="n">
        <v>7086438.163931483</v>
      </c>
      <c r="Z8" s="22" t="n">
        <v>137233.4771882806</v>
      </c>
      <c r="AA8" s="22" t="n">
        <v>9897.262729142112</v>
      </c>
      <c r="AB8" s="22" t="n">
        <v>192852.3372107206</v>
      </c>
      <c r="AC8" s="22" t="n">
        <v>165689.9549717303</v>
      </c>
      <c r="AD8" s="22" t="n">
        <v>149975.9361575542</v>
      </c>
      <c r="AE8" s="22" t="n">
        <v>29854.46881698517</v>
      </c>
      <c r="AF8" s="22" t="n">
        <v>20219.26774559343</v>
      </c>
      <c r="AG8" s="22" t="n">
        <v>6962304.820458365</v>
      </c>
      <c r="AH8" s="22" t="n">
        <v>134722.4535551685</v>
      </c>
      <c r="AI8" s="22" t="n">
        <v>8064.723181910083</v>
      </c>
      <c r="AJ8" s="22" t="n">
        <v>181281.1969780774</v>
      </c>
      <c r="AK8" s="22" t="n">
        <v>188517.6587676667</v>
      </c>
      <c r="AL8" s="22" t="n">
        <v>190056.13128501</v>
      </c>
      <c r="AM8" s="22" t="n">
        <v>1594.97358404644</v>
      </c>
      <c r="AN8" s="22" t="n">
        <v>1406.222001141978</v>
      </c>
      <c r="AO8" s="22" t="n">
        <v>12202378.84290587</v>
      </c>
      <c r="AP8" s="22" t="n">
        <v>254499.6827477971</v>
      </c>
      <c r="AQ8" s="22" t="n">
        <v>1179.858797961167</v>
      </c>
      <c r="AR8" s="22" t="n">
        <v>192852.3372107206</v>
      </c>
      <c r="AS8" s="22" t="n">
        <v>179667.7599572397</v>
      </c>
      <c r="AT8" s="22" t="n">
        <v>181281.1969780774</v>
      </c>
      <c r="AU8" s="22" t="n">
        <v>2.170407848592885e-13</v>
      </c>
      <c r="AV8" s="22" t="n">
        <v>1.528418264942642e-13</v>
      </c>
      <c r="AW8" s="22" t="n">
        <v>12528933.17409571</v>
      </c>
      <c r="AX8" s="22" t="n">
        <v>262800</v>
      </c>
      <c r="AY8" s="22" t="n">
        <v>0</v>
      </c>
      <c r="AZ8" s="22" t="n">
        <v>181281.1969780774</v>
      </c>
    </row>
    <row r="9">
      <c r="A9" t="n">
        <v>4</v>
      </c>
      <c r="B9" t="n">
        <v>2033</v>
      </c>
      <c r="C9" s="21" t="n">
        <v>0.048463042066233</v>
      </c>
      <c r="D9" s="21" t="n">
        <v>0.07207954815692584</v>
      </c>
      <c r="E9" s="22" t="n">
        <v>174715.8812543842</v>
      </c>
      <c r="F9" s="22" t="n">
        <v>158992.185133117</v>
      </c>
      <c r="G9" s="22" t="n">
        <v>29778.07187031479</v>
      </c>
      <c r="H9" s="22" t="n">
        <v>20018.71612031952</v>
      </c>
      <c r="I9" s="22" t="n">
        <v>6972932.323269567</v>
      </c>
      <c r="J9" s="22" t="n">
        <v>133596.2181893283</v>
      </c>
      <c r="K9" s="22" t="n">
        <v>10271.57653686852</v>
      </c>
      <c r="L9" s="22" t="n">
        <v>192273.7801990884</v>
      </c>
      <c r="M9" s="22" t="n">
        <v>164533.1593058977</v>
      </c>
      <c r="N9" s="22" t="n">
        <v>148611.596157024</v>
      </c>
      <c r="O9" s="22" t="n">
        <v>30641.80005931656</v>
      </c>
      <c r="P9" s="22" t="n">
        <v>20572.53911483442</v>
      </c>
      <c r="Q9" s="22" t="n">
        <v>6845851.00920861</v>
      </c>
      <c r="R9" s="22" t="n">
        <v>130904.2637734419</v>
      </c>
      <c r="S9" s="22" t="n">
        <v>8479.160546401445</v>
      </c>
      <c r="T9" s="22" t="n">
        <v>180737.3533871431</v>
      </c>
      <c r="U9" s="22" t="n">
        <v>174715.8812543851</v>
      </c>
      <c r="V9" s="22" t="n">
        <v>158992.1851331103</v>
      </c>
      <c r="W9" s="22" t="n">
        <v>29778.07187031266</v>
      </c>
      <c r="X9" s="22" t="n">
        <v>20018.71612031574</v>
      </c>
      <c r="Y9" s="22" t="n">
        <v>6972932.323272496</v>
      </c>
      <c r="Z9" s="22" t="n">
        <v>133596.2181893679</v>
      </c>
      <c r="AA9" s="22" t="n">
        <v>10271.57653687956</v>
      </c>
      <c r="AB9" s="22" t="n">
        <v>192273.7801990884</v>
      </c>
      <c r="AC9" s="22" t="n">
        <v>164533.1593058969</v>
      </c>
      <c r="AD9" s="22" t="n">
        <v>148611.5961570149</v>
      </c>
      <c r="AE9" s="22" t="n">
        <v>30641.80005931582</v>
      </c>
      <c r="AF9" s="22" t="n">
        <v>20572.539114832</v>
      </c>
      <c r="AG9" s="22" t="n">
        <v>6845851.00921188</v>
      </c>
      <c r="AH9" s="22" t="n">
        <v>130904.2637734906</v>
      </c>
      <c r="AI9" s="22" t="n">
        <v>8479.160546413255</v>
      </c>
      <c r="AJ9" s="22" t="n">
        <v>180737.3533871431</v>
      </c>
      <c r="AK9" s="22" t="n">
        <v>187582.90943115</v>
      </c>
      <c r="AL9" s="22" t="n">
        <v>189631.9626450946</v>
      </c>
      <c r="AM9" s="22" t="n">
        <v>1511.389127851843</v>
      </c>
      <c r="AN9" s="22" t="n">
        <v>1328.579534600946</v>
      </c>
      <c r="AO9" s="22" t="n">
        <v>12220409.05699194</v>
      </c>
      <c r="AP9" s="22" t="n">
        <v>254957.9724801491</v>
      </c>
      <c r="AQ9" s="22" t="n">
        <v>1114.714640659503</v>
      </c>
      <c r="AR9" s="22" t="n">
        <v>192273.7801990884</v>
      </c>
      <c r="AS9" s="22" t="n">
        <v>178632.9025135791</v>
      </c>
      <c r="AT9" s="22" t="n">
        <v>180737.3533871431</v>
      </c>
      <c r="AU9" s="22" t="n">
        <v>2.122534027348351e-13</v>
      </c>
      <c r="AV9" s="22" t="n">
        <v>1.424299784116263e-13</v>
      </c>
      <c r="AW9" s="22" t="n">
        <v>12528933.17409571</v>
      </c>
      <c r="AX9" s="22" t="n">
        <v>262800</v>
      </c>
      <c r="AY9" s="22" t="n">
        <v>0</v>
      </c>
      <c r="AZ9" s="22" t="n">
        <v>180737.3533871431</v>
      </c>
    </row>
    <row r="10">
      <c r="A10" t="n">
        <v>5</v>
      </c>
      <c r="B10" t="n">
        <v>2034</v>
      </c>
      <c r="C10" s="21" t="n">
        <v>0.048463042066233</v>
      </c>
      <c r="D10" s="21" t="n">
        <v>0.07408882901265722</v>
      </c>
      <c r="E10" s="22" t="n">
        <v>174250.3995464696</v>
      </c>
      <c r="F10" s="22" t="n">
        <v>158523.1452160539</v>
      </c>
      <c r="G10" s="22" t="n">
        <v>29780.83646756301</v>
      </c>
      <c r="H10" s="22" t="n">
        <v>20036.56870208678</v>
      </c>
      <c r="I10" s="22" t="n">
        <v>6971640.220212567</v>
      </c>
      <c r="J10" s="22" t="n">
        <v>133608.0441358284</v>
      </c>
      <c r="K10" s="22" t="n">
        <v>10143.27490440656</v>
      </c>
      <c r="L10" s="22" t="n">
        <v>191696.9588584912</v>
      </c>
      <c r="M10" s="22" t="n">
        <v>163994.7791896958</v>
      </c>
      <c r="N10" s="22" t="n">
        <v>148107.4780233229</v>
      </c>
      <c r="O10" s="22" t="n">
        <v>30641.89732947684</v>
      </c>
      <c r="P10" s="22" t="n">
        <v>20588.62689991246</v>
      </c>
      <c r="Q10" s="22" t="n">
        <v>6850281.456713682</v>
      </c>
      <c r="R10" s="22" t="n">
        <v>131049.4831540662</v>
      </c>
      <c r="S10" s="22" t="n">
        <v>8422.574912954806</v>
      </c>
      <c r="T10" s="22" t="n">
        <v>180195.1413269817</v>
      </c>
      <c r="U10" s="22" t="n">
        <v>174250.3995464706</v>
      </c>
      <c r="V10" s="22" t="n">
        <v>158523.1452160471</v>
      </c>
      <c r="W10" s="22" t="n">
        <v>29780.83646756085</v>
      </c>
      <c r="X10" s="22" t="n">
        <v>20036.56870208304</v>
      </c>
      <c r="Y10" s="22" t="n">
        <v>6971640.220215546</v>
      </c>
      <c r="Z10" s="22" t="n">
        <v>133608.0441358684</v>
      </c>
      <c r="AA10" s="22" t="n">
        <v>10143.27490441761</v>
      </c>
      <c r="AB10" s="22" t="n">
        <v>191696.9588584912</v>
      </c>
      <c r="AC10" s="22" t="n">
        <v>163994.7791896951</v>
      </c>
      <c r="AD10" s="22" t="n">
        <v>148107.4780233139</v>
      </c>
      <c r="AE10" s="22" t="n">
        <v>30641.8973294761</v>
      </c>
      <c r="AF10" s="22" t="n">
        <v>20588.62689991007</v>
      </c>
      <c r="AG10" s="22" t="n">
        <v>6850281.456716955</v>
      </c>
      <c r="AH10" s="22" t="n">
        <v>131049.4831541149</v>
      </c>
      <c r="AI10" s="22" t="n">
        <v>8422.574912966502</v>
      </c>
      <c r="AJ10" s="22" t="n">
        <v>180195.1413269817</v>
      </c>
      <c r="AK10" s="22" t="n">
        <v>187199.7225183193</v>
      </c>
      <c r="AL10" s="22" t="n">
        <v>189209.0665110985</v>
      </c>
      <c r="AM10" s="22" t="n">
        <v>1422.96107253607</v>
      </c>
      <c r="AN10" s="22" t="n">
        <v>1251.169995459799</v>
      </c>
      <c r="AO10" s="22" t="n">
        <v>12238385.18043576</v>
      </c>
      <c r="AP10" s="22" t="n">
        <v>255414.8873433046</v>
      </c>
      <c r="AQ10" s="22" t="n">
        <v>1049.765915829709</v>
      </c>
      <c r="AR10" s="22" t="n">
        <v>191696.9588584912</v>
      </c>
      <c r="AS10" s="22" t="n">
        <v>178140.073965421</v>
      </c>
      <c r="AT10" s="22" t="n">
        <v>180195.1413269817</v>
      </c>
      <c r="AU10" s="22" t="n">
        <v>2.088916488894669e-13</v>
      </c>
      <c r="AV10" s="22" t="n">
        <v>1.392676884307664e-13</v>
      </c>
      <c r="AW10" s="22" t="n">
        <v>12528933.17409571</v>
      </c>
      <c r="AX10" s="22" t="n">
        <v>262800</v>
      </c>
      <c r="AY10" s="22" t="n">
        <v>0</v>
      </c>
      <c r="AZ10" s="22" t="n">
        <v>180195.1413269817</v>
      </c>
    </row>
    <row r="11">
      <c r="A11" t="n">
        <v>6</v>
      </c>
      <c r="B11" t="n">
        <v>2035</v>
      </c>
      <c r="C11" s="21" t="n">
        <v>0.048463042066233</v>
      </c>
      <c r="D11" s="21" t="n">
        <v>0.07604853345099759</v>
      </c>
      <c r="E11" s="22" t="n">
        <v>173800.8319160225</v>
      </c>
      <c r="F11" s="22" t="n">
        <v>158074.9715628862</v>
      </c>
      <c r="G11" s="22" t="n">
        <v>29768.58213715153</v>
      </c>
      <c r="H11" s="22" t="n">
        <v>20045.05583166286</v>
      </c>
      <c r="I11" s="22" t="n">
        <v>6972789.917453649</v>
      </c>
      <c r="J11" s="22" t="n">
        <v>133710.2292028116</v>
      </c>
      <c r="K11" s="22" t="n">
        <v>10006.60235964689</v>
      </c>
      <c r="L11" s="22" t="n">
        <v>191121.8679819157</v>
      </c>
      <c r="M11" s="22" t="n">
        <v>163473.3544348505</v>
      </c>
      <c r="N11" s="22" t="n">
        <v>147624.8139630718</v>
      </c>
      <c r="O11" s="22" t="n">
        <v>30625.95030214316</v>
      </c>
      <c r="P11" s="22" t="n">
        <v>20594.64512224856</v>
      </c>
      <c r="Q11" s="22" t="n">
        <v>6857230.133991361</v>
      </c>
      <c r="R11" s="22" t="n">
        <v>131288.9113323745</v>
      </c>
      <c r="S11" s="22" t="n">
        <v>8357.736052286937</v>
      </c>
      <c r="T11" s="22" t="n">
        <v>179654.5559030007</v>
      </c>
      <c r="U11" s="22" t="n">
        <v>173800.8319160233</v>
      </c>
      <c r="V11" s="22" t="n">
        <v>158074.9715628794</v>
      </c>
      <c r="W11" s="22" t="n">
        <v>29768.58213714942</v>
      </c>
      <c r="X11" s="22" t="n">
        <v>20045.0558316592</v>
      </c>
      <c r="Y11" s="22" t="n">
        <v>6972789.917456661</v>
      </c>
      <c r="Z11" s="22" t="n">
        <v>133710.2292028521</v>
      </c>
      <c r="AA11" s="22" t="n">
        <v>10006.60235965793</v>
      </c>
      <c r="AB11" s="22" t="n">
        <v>191121.8679819157</v>
      </c>
      <c r="AC11" s="22" t="n">
        <v>163473.3544348498</v>
      </c>
      <c r="AD11" s="22" t="n">
        <v>147624.8139630629</v>
      </c>
      <c r="AE11" s="22" t="n">
        <v>30625.95030214243</v>
      </c>
      <c r="AF11" s="22" t="n">
        <v>20594.64512224623</v>
      </c>
      <c r="AG11" s="22" t="n">
        <v>6857230.133994604</v>
      </c>
      <c r="AH11" s="22" t="n">
        <v>131288.9113324229</v>
      </c>
      <c r="AI11" s="22" t="n">
        <v>8357.736052298502</v>
      </c>
      <c r="AJ11" s="22" t="n">
        <v>179654.5559030007</v>
      </c>
      <c r="AK11" s="22" t="n">
        <v>186822.3617841245</v>
      </c>
      <c r="AL11" s="22" t="n">
        <v>188787.4390655044</v>
      </c>
      <c r="AM11" s="22" t="n">
        <v>1334.806301818503</v>
      </c>
      <c r="AN11" s="22" t="n">
        <v>1173.992684936102</v>
      </c>
      <c r="AO11" s="22" t="n">
        <v>12256307.37550925</v>
      </c>
      <c r="AP11" s="22" t="n">
        <v>255870.4314618706</v>
      </c>
      <c r="AQ11" s="22" t="n">
        <v>985.0120371743973</v>
      </c>
      <c r="AR11" s="22" t="n">
        <v>191121.8679819157</v>
      </c>
      <c r="AS11" s="22" t="n">
        <v>177653.0827795412</v>
      </c>
      <c r="AT11" s="22" t="n">
        <v>179654.5559030007</v>
      </c>
      <c r="AU11" s="22" t="n">
        <v>2.052368377421821e-13</v>
      </c>
      <c r="AV11" s="22" t="n">
        <v>1.365929916445571e-13</v>
      </c>
      <c r="AW11" s="22" t="n">
        <v>12528933.17409571</v>
      </c>
      <c r="AX11" s="22" t="n">
        <v>262800</v>
      </c>
      <c r="AY11" s="22" t="n">
        <v>0</v>
      </c>
      <c r="AZ11" s="22" t="n">
        <v>179654.5559030007</v>
      </c>
    </row>
    <row r="12">
      <c r="A12" t="n">
        <v>7</v>
      </c>
      <c r="B12" t="n">
        <v>2036</v>
      </c>
      <c r="C12" s="21" t="n">
        <v>0.048463042066233</v>
      </c>
      <c r="D12" s="21" t="n">
        <v>0.07951481216777678</v>
      </c>
      <c r="E12" s="22" t="n">
        <v>173284.6586488918</v>
      </c>
      <c r="F12" s="22" t="n">
        <v>157535.1527327998</v>
      </c>
      <c r="G12" s="22" t="n">
        <v>29839.73028308532</v>
      </c>
      <c r="H12" s="22" t="n">
        <v>20085.01882210007</v>
      </c>
      <c r="I12" s="22" t="n">
        <v>6961405.040876495</v>
      </c>
      <c r="J12" s="22" t="n">
        <v>133416.1922944085</v>
      </c>
      <c r="K12" s="22" t="n">
        <v>9927.121114020658</v>
      </c>
      <c r="L12" s="22" t="n">
        <v>190548.50237797</v>
      </c>
      <c r="M12" s="22" t="n">
        <v>162888.8180543102</v>
      </c>
      <c r="N12" s="22" t="n">
        <v>147051.7921046852</v>
      </c>
      <c r="O12" s="22" t="n">
        <v>30697.76730650671</v>
      </c>
      <c r="P12" s="22" t="n">
        <v>20634.54990703263</v>
      </c>
      <c r="Q12" s="22" t="n">
        <v>6850811.081223041</v>
      </c>
      <c r="R12" s="22" t="n">
        <v>131103.3332924119</v>
      </c>
      <c r="S12" s="22" t="n">
        <v>8345.926674247259</v>
      </c>
      <c r="T12" s="22" t="n">
        <v>179115.5922352918</v>
      </c>
      <c r="U12" s="22" t="n">
        <v>173284.6586488926</v>
      </c>
      <c r="V12" s="22" t="n">
        <v>157535.1527327929</v>
      </c>
      <c r="W12" s="22" t="n">
        <v>29839.73028308328</v>
      </c>
      <c r="X12" s="22" t="n">
        <v>20085.01882209644</v>
      </c>
      <c r="Y12" s="22" t="n">
        <v>6961405.040879545</v>
      </c>
      <c r="Z12" s="22" t="n">
        <v>133416.1922944497</v>
      </c>
      <c r="AA12" s="22" t="n">
        <v>9927.121114031799</v>
      </c>
      <c r="AB12" s="22" t="n">
        <v>190548.50237797</v>
      </c>
      <c r="AC12" s="22" t="n">
        <v>162888.8180543094</v>
      </c>
      <c r="AD12" s="22" t="n">
        <v>147051.7921046763</v>
      </c>
      <c r="AE12" s="22" t="n">
        <v>30697.767306506</v>
      </c>
      <c r="AF12" s="22" t="n">
        <v>20634.54990703033</v>
      </c>
      <c r="AG12" s="22" t="n">
        <v>6850811.081226258</v>
      </c>
      <c r="AH12" s="22" t="n">
        <v>131103.3332924602</v>
      </c>
      <c r="AI12" s="22" t="n">
        <v>8345.926674258759</v>
      </c>
      <c r="AJ12" s="22" t="n">
        <v>179115.5922352918</v>
      </c>
      <c r="AK12" s="22" t="n">
        <v>186377.8791982496</v>
      </c>
      <c r="AL12" s="22" t="n">
        <v>188367.0765022471</v>
      </c>
      <c r="AM12" s="22" t="n">
        <v>1247.465174199671</v>
      </c>
      <c r="AN12" s="22" t="n">
        <v>1097.046906343976</v>
      </c>
      <c r="AO12" s="22" t="n">
        <v>12274175.80399752</v>
      </c>
      <c r="AP12" s="22" t="n">
        <v>256324.6089480811</v>
      </c>
      <c r="AQ12" s="22" t="n">
        <v>920.4524201550528</v>
      </c>
      <c r="AR12" s="22" t="n">
        <v>190548.50237797</v>
      </c>
      <c r="AS12" s="22" t="n">
        <v>177100.9037191371</v>
      </c>
      <c r="AT12" s="22" t="n">
        <v>179115.5922352918</v>
      </c>
      <c r="AU12" s="22" t="n">
        <v>2.010563801116902e-13</v>
      </c>
      <c r="AV12" s="22" t="n">
        <v>1.334946280815003e-13</v>
      </c>
      <c r="AW12" s="22" t="n">
        <v>12528933.17409571</v>
      </c>
      <c r="AX12" s="22" t="n">
        <v>262800</v>
      </c>
      <c r="AY12" s="22" t="n">
        <v>0</v>
      </c>
      <c r="AZ12" s="22" t="n">
        <v>179115.5922352918</v>
      </c>
    </row>
    <row r="13">
      <c r="A13" t="n">
        <v>8</v>
      </c>
      <c r="B13" t="n">
        <v>2037</v>
      </c>
      <c r="C13" s="21" t="n">
        <v>0.048463042066233</v>
      </c>
      <c r="D13" s="21" t="n">
        <v>0.08311974203322715</v>
      </c>
      <c r="E13" s="22" t="n">
        <v>172782.4344881134</v>
      </c>
      <c r="F13" s="22" t="n">
        <v>157012.8922376902</v>
      </c>
      <c r="G13" s="22" t="n">
        <v>29899.63233437772</v>
      </c>
      <c r="H13" s="22" t="n">
        <v>20116.59020446059</v>
      </c>
      <c r="I13" s="22" t="n">
        <v>6951880.481806209</v>
      </c>
      <c r="J13" s="22" t="n">
        <v>133195.8676509871</v>
      </c>
      <c r="K13" s="22" t="n">
        <v>9841.447156754341</v>
      </c>
      <c r="L13" s="22" t="n">
        <v>189976.856870836</v>
      </c>
      <c r="M13" s="22" t="n">
        <v>162319.4246322023</v>
      </c>
      <c r="N13" s="22" t="n">
        <v>146497.2362320071</v>
      </c>
      <c r="O13" s="22" t="n">
        <v>30757.25597969197</v>
      </c>
      <c r="P13" s="22" t="n">
        <v>20665.23402313915</v>
      </c>
      <c r="Q13" s="22" t="n">
        <v>6846379.244137131</v>
      </c>
      <c r="R13" s="22" t="n">
        <v>130997.154653659</v>
      </c>
      <c r="S13" s="22" t="n">
        <v>8327.866671246416</v>
      </c>
      <c r="T13" s="22" t="n">
        <v>178578.2454585859</v>
      </c>
      <c r="U13" s="22" t="n">
        <v>172782.434488114</v>
      </c>
      <c r="V13" s="22" t="n">
        <v>157012.892237683</v>
      </c>
      <c r="W13" s="22" t="n">
        <v>29899.63233437579</v>
      </c>
      <c r="X13" s="22" t="n">
        <v>20116.59020445705</v>
      </c>
      <c r="Y13" s="22" t="n">
        <v>6951880.481809276</v>
      </c>
      <c r="Z13" s="22" t="n">
        <v>133195.867651029</v>
      </c>
      <c r="AA13" s="22" t="n">
        <v>9841.447156765566</v>
      </c>
      <c r="AB13" s="22" t="n">
        <v>189976.856870836</v>
      </c>
      <c r="AC13" s="22" t="n">
        <v>162319.4246322016</v>
      </c>
      <c r="AD13" s="22" t="n">
        <v>146497.2362319983</v>
      </c>
      <c r="AE13" s="22" t="n">
        <v>30757.25597969128</v>
      </c>
      <c r="AF13" s="22" t="n">
        <v>20665.23402313689</v>
      </c>
      <c r="AG13" s="22" t="n">
        <v>6846379.244140295</v>
      </c>
      <c r="AH13" s="22" t="n">
        <v>130997.1546537068</v>
      </c>
      <c r="AI13" s="22" t="n">
        <v>8327.866671257827</v>
      </c>
      <c r="AJ13" s="22" t="n">
        <v>178578.2454585859</v>
      </c>
      <c r="AK13" s="22" t="n">
        <v>185935.4550258901</v>
      </c>
      <c r="AL13" s="22" t="n">
        <v>187947.9750266795</v>
      </c>
      <c r="AM13" s="22" t="n">
        <v>1160.360936921719</v>
      </c>
      <c r="AN13" s="22" t="n">
        <v>1020.331965087649</v>
      </c>
      <c r="AO13" s="22" t="n">
        <v>12291990.62720032</v>
      </c>
      <c r="AP13" s="22" t="n">
        <v>256777.423901833</v>
      </c>
      <c r="AQ13" s="22" t="n">
        <v>856.0864819867605</v>
      </c>
      <c r="AR13" s="22" t="n">
        <v>189976.856870836</v>
      </c>
      <c r="AS13" s="22" t="n">
        <v>176551.1758613021</v>
      </c>
      <c r="AT13" s="22" t="n">
        <v>178578.2454585859</v>
      </c>
      <c r="AU13" s="22" t="n">
        <v>1.966022146613934e-13</v>
      </c>
      <c r="AV13" s="22" t="n">
        <v>1.309551933770614e-13</v>
      </c>
      <c r="AW13" s="22" t="n">
        <v>12528933.17409571</v>
      </c>
      <c r="AX13" s="22" t="n">
        <v>262800</v>
      </c>
      <c r="AY13" s="22" t="n">
        <v>0</v>
      </c>
      <c r="AZ13" s="22" t="n">
        <v>178578.2454585859</v>
      </c>
    </row>
    <row r="14">
      <c r="A14" t="n">
        <v>9</v>
      </c>
      <c r="B14" t="n">
        <v>2038</v>
      </c>
      <c r="C14" s="21" t="n">
        <v>0.048463042066233</v>
      </c>
      <c r="D14" s="21" t="n">
        <v>0.08686886909329555</v>
      </c>
      <c r="E14" s="22" t="n">
        <v>172282.3042203262</v>
      </c>
      <c r="F14" s="22" t="n">
        <v>156492.8757184255</v>
      </c>
      <c r="G14" s="22" t="n">
        <v>29958.81037971142</v>
      </c>
      <c r="H14" s="22" t="n">
        <v>20147.94998263247</v>
      </c>
      <c r="I14" s="22" t="n">
        <v>6942453.080982107</v>
      </c>
      <c r="J14" s="22" t="n">
        <v>132978.0598680104</v>
      </c>
      <c r="K14" s="22" t="n">
        <v>9755.487383369928</v>
      </c>
      <c r="L14" s="22" t="n">
        <v>189406.9263002236</v>
      </c>
      <c r="M14" s="22" t="n">
        <v>161752.2302038418</v>
      </c>
      <c r="N14" s="22" t="n">
        <v>145945.0395614387</v>
      </c>
      <c r="O14" s="22" t="n">
        <v>30815.94648357742</v>
      </c>
      <c r="P14" s="22" t="n">
        <v>20695.65272036379</v>
      </c>
      <c r="Q14" s="22" t="n">
        <v>6842058.307301608</v>
      </c>
      <c r="R14" s="22" t="n">
        <v>130894.1259250841</v>
      </c>
      <c r="S14" s="22" t="n">
        <v>8309.364585640626</v>
      </c>
      <c r="T14" s="22" t="n">
        <v>178042.5107222101</v>
      </c>
      <c r="U14" s="22" t="n">
        <v>172282.3042203267</v>
      </c>
      <c r="V14" s="22" t="n">
        <v>156492.8757184181</v>
      </c>
      <c r="W14" s="22" t="n">
        <v>29958.81037970962</v>
      </c>
      <c r="X14" s="22" t="n">
        <v>20147.94998262902</v>
      </c>
      <c r="Y14" s="22" t="n">
        <v>6942453.080985188</v>
      </c>
      <c r="Z14" s="22" t="n">
        <v>132978.0598680529</v>
      </c>
      <c r="AA14" s="22" t="n">
        <v>9755.487383381234</v>
      </c>
      <c r="AB14" s="22" t="n">
        <v>189406.9263002236</v>
      </c>
      <c r="AC14" s="22" t="n">
        <v>161752.2302038411</v>
      </c>
      <c r="AD14" s="22" t="n">
        <v>145945.0395614299</v>
      </c>
      <c r="AE14" s="22" t="n">
        <v>30815.94648357675</v>
      </c>
      <c r="AF14" s="22" t="n">
        <v>20695.65272036158</v>
      </c>
      <c r="AG14" s="22" t="n">
        <v>6842058.307304719</v>
      </c>
      <c r="AH14" s="22" t="n">
        <v>130894.1259251316</v>
      </c>
      <c r="AI14" s="22" t="n">
        <v>8309.364585651943</v>
      </c>
      <c r="AJ14" s="22" t="n">
        <v>178042.5107222101</v>
      </c>
      <c r="AK14" s="22" t="n">
        <v>185495.0547091326</v>
      </c>
      <c r="AL14" s="22" t="n">
        <v>187530.1308555387</v>
      </c>
      <c r="AM14" s="22" t="n">
        <v>1073.494425881043</v>
      </c>
      <c r="AN14" s="22" t="n">
        <v>943.8471686550917</v>
      </c>
      <c r="AO14" s="22" t="n">
        <v>12309752.00593352</v>
      </c>
      <c r="AP14" s="22" t="n">
        <v>257228.8804107237</v>
      </c>
      <c r="AQ14" s="22" t="n">
        <v>791.9136416329757</v>
      </c>
      <c r="AR14" s="22" t="n">
        <v>189406.9263002236</v>
      </c>
      <c r="AS14" s="22" t="n">
        <v>176003.8589959898</v>
      </c>
      <c r="AT14" s="22" t="n">
        <v>178042.5107222101</v>
      </c>
      <c r="AU14" s="22" t="n">
        <v>1.921969285233787e-13</v>
      </c>
      <c r="AV14" s="22" t="n">
        <v>1.284262547934329e-13</v>
      </c>
      <c r="AW14" s="22" t="n">
        <v>12528933.17409571</v>
      </c>
      <c r="AX14" s="22" t="n">
        <v>262800</v>
      </c>
      <c r="AY14" s="22" t="n">
        <v>0</v>
      </c>
      <c r="AZ14" s="22" t="n">
        <v>178042.5107222101</v>
      </c>
    </row>
    <row r="15">
      <c r="A15" t="n">
        <v>10</v>
      </c>
      <c r="B15" t="n">
        <v>2039</v>
      </c>
      <c r="C15" s="21" t="n">
        <v>0.048463042066233</v>
      </c>
      <c r="D15" s="21" t="n">
        <v>0.09076796123576666</v>
      </c>
      <c r="E15" s="22" t="n">
        <v>171784.2358130644</v>
      </c>
      <c r="F15" s="22" t="n">
        <v>155975.0691201972</v>
      </c>
      <c r="G15" s="22" t="n">
        <v>30017.28600186673</v>
      </c>
      <c r="H15" s="22" t="n">
        <v>20179.10258836703</v>
      </c>
      <c r="I15" s="22" t="n">
        <v>6933120.34242036</v>
      </c>
      <c r="J15" s="22" t="n">
        <v>132762.7038183822</v>
      </c>
      <c r="K15" s="22" t="n">
        <v>9669.265609899223</v>
      </c>
      <c r="L15" s="22" t="n">
        <v>188838.7055213228</v>
      </c>
      <c r="M15" s="22" t="n">
        <v>161187.2070298769</v>
      </c>
      <c r="N15" s="22" t="n">
        <v>145395.1660200073</v>
      </c>
      <c r="O15" s="22" t="n">
        <v>30873.86463097708</v>
      </c>
      <c r="P15" s="22" t="n">
        <v>20725.81378091693</v>
      </c>
      <c r="Q15" s="22" t="n">
        <v>6837844.126298773</v>
      </c>
      <c r="R15" s="22" t="n">
        <v>130794.1257323171</v>
      </c>
      <c r="S15" s="22" t="n">
        <v>8290.442709212077</v>
      </c>
      <c r="T15" s="22" t="n">
        <v>177508.3831900435</v>
      </c>
      <c r="U15" s="22" t="n">
        <v>171784.2358130647</v>
      </c>
      <c r="V15" s="22" t="n">
        <v>155975.0691201896</v>
      </c>
      <c r="W15" s="22" t="n">
        <v>30017.28600186504</v>
      </c>
      <c r="X15" s="22" t="n">
        <v>20179.10258836367</v>
      </c>
      <c r="Y15" s="22" t="n">
        <v>6933120.34242346</v>
      </c>
      <c r="Z15" s="22" t="n">
        <v>132762.7038184252</v>
      </c>
      <c r="AA15" s="22" t="n">
        <v>9669.265609910613</v>
      </c>
      <c r="AB15" s="22" t="n">
        <v>188838.7055213228</v>
      </c>
      <c r="AC15" s="22" t="n">
        <v>161187.2070298762</v>
      </c>
      <c r="AD15" s="22" t="n">
        <v>145395.1660199986</v>
      </c>
      <c r="AE15" s="22" t="n">
        <v>30873.86463097642</v>
      </c>
      <c r="AF15" s="22" t="n">
        <v>20725.81378091478</v>
      </c>
      <c r="AG15" s="22" t="n">
        <v>6837844.126301832</v>
      </c>
      <c r="AH15" s="22" t="n">
        <v>130794.1257323641</v>
      </c>
      <c r="AI15" s="22" t="n">
        <v>8290.442709223305</v>
      </c>
      <c r="AJ15" s="22" t="n">
        <v>177508.3831900435</v>
      </c>
      <c r="AK15" s="22" t="n">
        <v>185056.6449061052</v>
      </c>
      <c r="AL15" s="22" t="n">
        <v>187113.5402169113</v>
      </c>
      <c r="AM15" s="22" t="n">
        <v>986.8662202264017</v>
      </c>
      <c r="AN15" s="22" t="n">
        <v>867.5918266118281</v>
      </c>
      <c r="AO15" s="22" t="n">
        <v>12327460.10053052</v>
      </c>
      <c r="AP15" s="22" t="n">
        <v>257678.9825500877</v>
      </c>
      <c r="AQ15" s="22" t="n">
        <v>727.9333198002512</v>
      </c>
      <c r="AR15" s="22" t="n">
        <v>188838.7055213228</v>
      </c>
      <c r="AS15" s="22" t="n">
        <v>175458.9143923525</v>
      </c>
      <c r="AT15" s="22" t="n">
        <v>177508.3831900435</v>
      </c>
      <c r="AU15" s="22" t="n">
        <v>1.878385041429876e-13</v>
      </c>
      <c r="AV15" s="22" t="n">
        <v>1.259074703823896e-13</v>
      </c>
      <c r="AW15" s="22" t="n">
        <v>12528933.17409571</v>
      </c>
      <c r="AX15" s="22" t="n">
        <v>262800</v>
      </c>
      <c r="AY15" s="22" t="n">
        <v>0</v>
      </c>
      <c r="AZ15" s="22" t="n">
        <v>177508.3831900435</v>
      </c>
    </row>
    <row r="16">
      <c r="A16" t="n">
        <v>11</v>
      </c>
      <c r="B16" t="n">
        <v>2040</v>
      </c>
      <c r="C16" s="21" t="n">
        <v>0.048463042066233</v>
      </c>
      <c r="D16" s="21" t="n">
        <v>0.09482301706393663</v>
      </c>
      <c r="E16" s="22" t="n">
        <v>171288.1984512511</v>
      </c>
      <c r="F16" s="22" t="n">
        <v>155459.439594038</v>
      </c>
      <c r="G16" s="22" t="n">
        <v>30075.08003531296</v>
      </c>
      <c r="H16" s="22" t="n">
        <v>20210.05232297826</v>
      </c>
      <c r="I16" s="22" t="n">
        <v>6923879.844496193</v>
      </c>
      <c r="J16" s="22" t="n">
        <v>132549.7362141375</v>
      </c>
      <c r="K16" s="22" t="n">
        <v>9582.80461189527</v>
      </c>
      <c r="L16" s="22" t="n">
        <v>188272.1894047589</v>
      </c>
      <c r="M16" s="22" t="n">
        <v>160624.3283609884</v>
      </c>
      <c r="N16" s="22" t="n">
        <v>144847.5808509481</v>
      </c>
      <c r="O16" s="22" t="n">
        <v>30931.03527378044</v>
      </c>
      <c r="P16" s="22" t="n">
        <v>20755.72468182335</v>
      </c>
      <c r="Q16" s="22" t="n">
        <v>6833732.718133879</v>
      </c>
      <c r="R16" s="22" t="n">
        <v>130697.0374950029</v>
      </c>
      <c r="S16" s="22" t="n">
        <v>8271.122382831722</v>
      </c>
      <c r="T16" s="22" t="n">
        <v>176975.8580404734</v>
      </c>
      <c r="U16" s="22" t="n">
        <v>171288.1984512514</v>
      </c>
      <c r="V16" s="22" t="n">
        <v>155459.4395940304</v>
      </c>
      <c r="W16" s="22" t="n">
        <v>30075.08003531137</v>
      </c>
      <c r="X16" s="22" t="n">
        <v>20210.05232297499</v>
      </c>
      <c r="Y16" s="22" t="n">
        <v>6923879.844499307</v>
      </c>
      <c r="Z16" s="22" t="n">
        <v>132549.7362141811</v>
      </c>
      <c r="AA16" s="22" t="n">
        <v>9582.80461190674</v>
      </c>
      <c r="AB16" s="22" t="n">
        <v>188272.1894047589</v>
      </c>
      <c r="AC16" s="22" t="n">
        <v>160624.3283609877</v>
      </c>
      <c r="AD16" s="22" t="n">
        <v>144847.5808509394</v>
      </c>
      <c r="AE16" s="22" t="n">
        <v>30931.03527377981</v>
      </c>
      <c r="AF16" s="22" t="n">
        <v>20755.72468182124</v>
      </c>
      <c r="AG16" s="22" t="n">
        <v>6833732.718136886</v>
      </c>
      <c r="AH16" s="22" t="n">
        <v>130697.0374950494</v>
      </c>
      <c r="AI16" s="22" t="n">
        <v>8271.122382842863</v>
      </c>
      <c r="AJ16" s="22" t="n">
        <v>176975.8580404734</v>
      </c>
      <c r="AK16" s="22" t="n">
        <v>184620.1934436106</v>
      </c>
      <c r="AL16" s="22" t="n">
        <v>186698.1993501998</v>
      </c>
      <c r="AM16" s="22" t="n">
        <v>900.4768317395208</v>
      </c>
      <c r="AN16" s="22" t="n">
        <v>791.5652505946948</v>
      </c>
      <c r="AO16" s="22" t="n">
        <v>12345115.07084372</v>
      </c>
      <c r="AP16" s="22" t="n">
        <v>258127.7343830335</v>
      </c>
      <c r="AQ16" s="22" t="n">
        <v>664.1449389330274</v>
      </c>
      <c r="AR16" s="22" t="n">
        <v>188272.1894047589</v>
      </c>
      <c r="AS16" s="22" t="n">
        <v>174916.3047380511</v>
      </c>
      <c r="AT16" s="22" t="n">
        <v>176975.8580404734</v>
      </c>
      <c r="AU16" s="22" t="n">
        <v>1.835250228516287e-13</v>
      </c>
      <c r="AV16" s="22" t="n">
        <v>1.233985194222274e-13</v>
      </c>
      <c r="AW16" s="22" t="n">
        <v>12528933.17409571</v>
      </c>
      <c r="AX16" s="22" t="n">
        <v>262800</v>
      </c>
      <c r="AY16" s="22" t="n">
        <v>0</v>
      </c>
      <c r="AZ16" s="22" t="n">
        <v>176975.8580404734</v>
      </c>
    </row>
    <row r="17">
      <c r="A17" t="n">
        <v>12</v>
      </c>
      <c r="B17" t="n">
        <v>2041</v>
      </c>
      <c r="C17" s="21" t="n">
        <v>0.048463042066233</v>
      </c>
      <c r="D17" s="21" t="n">
        <v>0.09904027512523338</v>
      </c>
      <c r="E17" s="22" t="n">
        <v>170794.1624850081</v>
      </c>
      <c r="F17" s="22" t="n">
        <v>154945.9554485725</v>
      </c>
      <c r="G17" s="22" t="n">
        <v>30132.21259213922</v>
      </c>
      <c r="H17" s="22" t="n">
        <v>20240.80336104493</v>
      </c>
      <c r="I17" s="22" t="n">
        <v>6914729.237889642</v>
      </c>
      <c r="J17" s="22" t="n">
        <v>132339.095561302</v>
      </c>
      <c r="K17" s="22" t="n">
        <v>9496.126168380288</v>
      </c>
      <c r="L17" s="22" t="n">
        <v>187707.3728365446</v>
      </c>
      <c r="M17" s="22" t="n">
        <v>160063.5683961696</v>
      </c>
      <c r="N17" s="22" t="n">
        <v>144302.250559458</v>
      </c>
      <c r="O17" s="22" t="n">
        <v>30987.4823391036</v>
      </c>
      <c r="P17" s="22" t="n">
        <v>20785.39260722125</v>
      </c>
      <c r="Q17" s="22" t="n">
        <v>6829720.254921861</v>
      </c>
      <c r="R17" s="22" t="n">
        <v>130602.7492368666</v>
      </c>
      <c r="S17" s="22" t="n">
        <v>8251.424036524704</v>
      </c>
      <c r="T17" s="22" t="n">
        <v>176444.9304663519</v>
      </c>
      <c r="U17" s="22" t="n">
        <v>170794.1624850082</v>
      </c>
      <c r="V17" s="22" t="n">
        <v>154945.9554485646</v>
      </c>
      <c r="W17" s="22" t="n">
        <v>30132.21259213772</v>
      </c>
      <c r="X17" s="22" t="n">
        <v>20240.80336104173</v>
      </c>
      <c r="Y17" s="22" t="n">
        <v>6914729.237892769</v>
      </c>
      <c r="Z17" s="22" t="n">
        <v>132339.0955613462</v>
      </c>
      <c r="AA17" s="22" t="n">
        <v>9496.126168391829</v>
      </c>
      <c r="AB17" s="22" t="n">
        <v>187707.3728365446</v>
      </c>
      <c r="AC17" s="22" t="n">
        <v>160063.5683961688</v>
      </c>
      <c r="AD17" s="22" t="n">
        <v>144302.2505594493</v>
      </c>
      <c r="AE17" s="22" t="n">
        <v>30987.48233910299</v>
      </c>
      <c r="AF17" s="22" t="n">
        <v>20785.3926072192</v>
      </c>
      <c r="AG17" s="22" t="n">
        <v>6829720.254924819</v>
      </c>
      <c r="AH17" s="22" t="n">
        <v>130602.7492369128</v>
      </c>
      <c r="AI17" s="22" t="n">
        <v>8251.424036535751</v>
      </c>
      <c r="AJ17" s="22" t="n">
        <v>176444.9304663519</v>
      </c>
      <c r="AK17" s="22" t="n">
        <v>184185.6692716984</v>
      </c>
      <c r="AL17" s="22" t="n">
        <v>186284.1045060884</v>
      </c>
      <c r="AM17" s="22" t="n">
        <v>814.3267082198156</v>
      </c>
      <c r="AN17" s="22" t="n">
        <v>715.7667543056086</v>
      </c>
      <c r="AO17" s="22" t="n">
        <v>12362717.076246</v>
      </c>
      <c r="AP17" s="22" t="n">
        <v>258575.1399604806</v>
      </c>
      <c r="AQ17" s="22" t="n">
        <v>600.5479232084041</v>
      </c>
      <c r="AR17" s="22" t="n">
        <v>187707.3728365446</v>
      </c>
      <c r="AS17" s="22" t="n">
        <v>174375.9940811534</v>
      </c>
      <c r="AT17" s="22" t="n">
        <v>176444.9304663519</v>
      </c>
      <c r="AU17" s="22" t="n">
        <v>1.792546601364994e-13</v>
      </c>
      <c r="AV17" s="22" t="n">
        <v>1.208991012356176e-13</v>
      </c>
      <c r="AW17" s="22" t="n">
        <v>12528933.17409571</v>
      </c>
      <c r="AX17" s="22" t="n">
        <v>262800</v>
      </c>
      <c r="AY17" s="22" t="n">
        <v>0</v>
      </c>
      <c r="AZ17" s="22" t="n">
        <v>176444.9304663519</v>
      </c>
    </row>
    <row r="18">
      <c r="A18" t="n">
        <v>13</v>
      </c>
      <c r="B18" t="n">
        <v>2042</v>
      </c>
      <c r="C18" s="21" t="n">
        <v>0.048463042066233</v>
      </c>
      <c r="D18" s="21" t="n">
        <v>0.103426223508982</v>
      </c>
      <c r="E18" s="22" t="n">
        <v>170302.0993797129</v>
      </c>
      <c r="F18" s="22" t="n">
        <v>154434.5861037185</v>
      </c>
      <c r="G18" s="22" t="n">
        <v>30188.70308710414</v>
      </c>
      <c r="H18" s="22" t="n">
        <v>20271.35975402362</v>
      </c>
      <c r="I18" s="22" t="n">
        <v>6905666.243577319</v>
      </c>
      <c r="J18" s="22" t="n">
        <v>132130.7221154338</v>
      </c>
      <c r="K18" s="22" t="n">
        <v>9409.251103944509</v>
      </c>
      <c r="L18" s="22" t="n">
        <v>187144.250718035</v>
      </c>
      <c r="M18" s="22" t="n">
        <v>159504.9022427827</v>
      </c>
      <c r="N18" s="22" t="n">
        <v>143759.1428607056</v>
      </c>
      <c r="O18" s="22" t="n">
        <v>31043.22886408178</v>
      </c>
      <c r="P18" s="22" t="n">
        <v>20814.82446016436</v>
      </c>
      <c r="Q18" s="22" t="n">
        <v>6825803.057821301</v>
      </c>
      <c r="R18" s="22" t="n">
        <v>130511.1534033147</v>
      </c>
      <c r="S18" s="22" t="n">
        <v>8231.367227851541</v>
      </c>
      <c r="T18" s="22" t="n">
        <v>175915.5956749529</v>
      </c>
      <c r="U18" s="22" t="n">
        <v>170302.0993797129</v>
      </c>
      <c r="V18" s="22" t="n">
        <v>154434.5861037105</v>
      </c>
      <c r="W18" s="22" t="n">
        <v>30188.70308710275</v>
      </c>
      <c r="X18" s="22" t="n">
        <v>20271.3597540205</v>
      </c>
      <c r="Y18" s="22" t="n">
        <v>6905666.243580462</v>
      </c>
      <c r="Z18" s="22" t="n">
        <v>132130.7221154785</v>
      </c>
      <c r="AA18" s="22" t="n">
        <v>9409.251103956127</v>
      </c>
      <c r="AB18" s="22" t="n">
        <v>187144.250718035</v>
      </c>
      <c r="AC18" s="22" t="n">
        <v>159504.9022427819</v>
      </c>
      <c r="AD18" s="22" t="n">
        <v>143759.1428606969</v>
      </c>
      <c r="AE18" s="22" t="n">
        <v>31043.22886408118</v>
      </c>
      <c r="AF18" s="22" t="n">
        <v>20814.82446016235</v>
      </c>
      <c r="AG18" s="22" t="n">
        <v>6825803.057824209</v>
      </c>
      <c r="AH18" s="22" t="n">
        <v>130511.1534033604</v>
      </c>
      <c r="AI18" s="22" t="n">
        <v>8231.367227862496</v>
      </c>
      <c r="AJ18" s="22" t="n">
        <v>175915.5956749529</v>
      </c>
      <c r="AK18" s="22" t="n">
        <v>183753.0424200225</v>
      </c>
      <c r="AL18" s="22" t="n">
        <v>185871.2519465093</v>
      </c>
      <c r="AM18" s="22" t="n">
        <v>728.4162367093597</v>
      </c>
      <c r="AN18" s="22" t="n">
        <v>640.1956535053872</v>
      </c>
      <c r="AO18" s="22" t="n">
        <v>12380266.27563205</v>
      </c>
      <c r="AP18" s="22" t="n">
        <v>259021.2033211952</v>
      </c>
      <c r="AQ18" s="22" t="n">
        <v>537.141698530954</v>
      </c>
      <c r="AR18" s="22" t="n">
        <v>187144.250718035</v>
      </c>
      <c r="AS18" s="22" t="n">
        <v>173837.9477744335</v>
      </c>
      <c r="AT18" s="22" t="n">
        <v>175915.5956749529</v>
      </c>
      <c r="AU18" s="22" t="n">
        <v>1.750256811307085e-13</v>
      </c>
      <c r="AV18" s="22" t="n">
        <v>1.184089340681475e-13</v>
      </c>
      <c r="AW18" s="22" t="n">
        <v>12528933.17409571</v>
      </c>
      <c r="AX18" s="22" t="n">
        <v>262800</v>
      </c>
      <c r="AY18" s="22" t="n">
        <v>0</v>
      </c>
      <c r="AZ18" s="22" t="n">
        <v>175915.5956749529</v>
      </c>
    </row>
    <row r="19">
      <c r="A19" t="n">
        <v>14</v>
      </c>
      <c r="B19" t="n">
        <v>2043</v>
      </c>
      <c r="C19" s="21" t="n">
        <v>0.048463042066233</v>
      </c>
      <c r="D19" s="21" t="n">
        <v>0.1079876098280806</v>
      </c>
      <c r="E19" s="22" t="n">
        <v>169811.9816682067</v>
      </c>
      <c r="F19" s="22" t="n">
        <v>153925.3020462624</v>
      </c>
      <c r="G19" s="22" t="n">
        <v>30244.57026183359</v>
      </c>
      <c r="H19" s="22" t="n">
        <v>20301.72543377406</v>
      </c>
      <c r="I19" s="22" t="n">
        <v>6896688.650869717</v>
      </c>
      <c r="J19" s="22" t="n">
        <v>131924.5578378682</v>
      </c>
      <c r="K19" s="22" t="n">
        <v>9322.19932907357</v>
      </c>
      <c r="L19" s="22" t="n">
        <v>186582.8179658809</v>
      </c>
      <c r="M19" s="22" t="n">
        <v>158948.3058783153</v>
      </c>
      <c r="N19" s="22" t="n">
        <v>143218.2266300031</v>
      </c>
      <c r="O19" s="22" t="n">
        <v>31098.29702935421</v>
      </c>
      <c r="P19" s="22" t="n">
        <v>20844.02687394668</v>
      </c>
      <c r="Q19" s="22" t="n">
        <v>6821977.591205877</v>
      </c>
      <c r="R19" s="22" t="n">
        <v>130422.1466862716</v>
      </c>
      <c r="S19" s="22" t="n">
        <v>8210.970678675843</v>
      </c>
      <c r="T19" s="22" t="n">
        <v>175387.848887928</v>
      </c>
      <c r="U19" s="22" t="n">
        <v>169811.9816682066</v>
      </c>
      <c r="V19" s="22" t="n">
        <v>153925.3020462542</v>
      </c>
      <c r="W19" s="22" t="n">
        <v>30244.5702618323</v>
      </c>
      <c r="X19" s="22" t="n">
        <v>20301.72543377101</v>
      </c>
      <c r="Y19" s="22" t="n">
        <v>6896688.650872874</v>
      </c>
      <c r="Z19" s="22" t="n">
        <v>131924.5578379134</v>
      </c>
      <c r="AA19" s="22" t="n">
        <v>9322.199329085259</v>
      </c>
      <c r="AB19" s="22" t="n">
        <v>186582.8179658809</v>
      </c>
      <c r="AC19" s="22" t="n">
        <v>158948.3058783145</v>
      </c>
      <c r="AD19" s="22" t="n">
        <v>143218.2266299945</v>
      </c>
      <c r="AE19" s="22" t="n">
        <v>31098.29702935364</v>
      </c>
      <c r="AF19" s="22" t="n">
        <v>20844.02687394472</v>
      </c>
      <c r="AG19" s="22" t="n">
        <v>6821977.591208739</v>
      </c>
      <c r="AH19" s="22" t="n">
        <v>130422.1466863169</v>
      </c>
      <c r="AI19" s="22" t="n">
        <v>8210.970678686705</v>
      </c>
      <c r="AJ19" s="22" t="n">
        <v>175387.848887928</v>
      </c>
      <c r="AK19" s="22" t="n">
        <v>183322.2839559093</v>
      </c>
      <c r="AL19" s="22" t="n">
        <v>185459.637944609</v>
      </c>
      <c r="AM19" s="22" t="n">
        <v>642.7457465654072</v>
      </c>
      <c r="AN19" s="22" t="n">
        <v>564.8512660075655</v>
      </c>
      <c r="AO19" s="22" t="n">
        <v>12397762.82741995</v>
      </c>
      <c r="AP19" s="22" t="n">
        <v>259465.9284918277</v>
      </c>
      <c r="AQ19" s="22" t="n">
        <v>473.9256925275372</v>
      </c>
      <c r="AR19" s="22" t="n">
        <v>186582.8179658809</v>
      </c>
      <c r="AS19" s="22" t="n">
        <v>173302.1324219726</v>
      </c>
      <c r="AT19" s="22" t="n">
        <v>175387.848887928</v>
      </c>
      <c r="AU19" s="22" t="n">
        <v>1.70836436313734e-13</v>
      </c>
      <c r="AV19" s="22" t="n">
        <v>1.159277540245836e-13</v>
      </c>
      <c r="AW19" s="22" t="n">
        <v>12528933.17409571</v>
      </c>
      <c r="AX19" s="22" t="n">
        <v>262800</v>
      </c>
      <c r="AY19" s="22" t="n">
        <v>0</v>
      </c>
      <c r="AZ19" s="22" t="n">
        <v>175387.848887928</v>
      </c>
    </row>
    <row r="20">
      <c r="A20" t="n">
        <v>15</v>
      </c>
      <c r="B20" t="n">
        <v>2044</v>
      </c>
      <c r="C20" s="21" t="n">
        <v>0.048463042066233</v>
      </c>
      <c r="D20" s="21" t="n">
        <v>0.1127314515999431</v>
      </c>
      <c r="E20" s="22" t="n">
        <v>169323.7829050609</v>
      </c>
      <c r="F20" s="22" t="n">
        <v>153418.0747872301</v>
      </c>
      <c r="G20" s="22" t="n">
        <v>30299.83220819453</v>
      </c>
      <c r="H20" s="22" t="n">
        <v>20331.90421599771</v>
      </c>
      <c r="I20" s="22" t="n">
        <v>6887794.315493621</v>
      </c>
      <c r="J20" s="22" t="n">
        <v>131720.5463526761</v>
      </c>
      <c r="K20" s="22" t="n">
        <v>9234.989878778839</v>
      </c>
      <c r="L20" s="22" t="n">
        <v>186023.0695119833</v>
      </c>
      <c r="M20" s="22" t="n">
        <v>158393.7561137644</v>
      </c>
      <c r="N20" s="22" t="n">
        <v>142679.4718550509</v>
      </c>
      <c r="O20" s="22" t="n">
        <v>31152.70819129052</v>
      </c>
      <c r="P20" s="22" t="n">
        <v>20873.00622296969</v>
      </c>
      <c r="Q20" s="22" t="n">
        <v>6818240.457064062</v>
      </c>
      <c r="R20" s="22" t="n">
        <v>130335.6298559662</v>
      </c>
      <c r="S20" s="22" t="n">
        <v>8190.252310386155</v>
      </c>
      <c r="T20" s="22" t="n">
        <v>174861.6853412643</v>
      </c>
      <c r="U20" s="22" t="n">
        <v>169323.7829050607</v>
      </c>
      <c r="V20" s="22" t="n">
        <v>153418.0747872217</v>
      </c>
      <c r="W20" s="22" t="n">
        <v>30299.83220819331</v>
      </c>
      <c r="X20" s="22" t="n">
        <v>20331.90421599473</v>
      </c>
      <c r="Y20" s="22" t="n">
        <v>6887794.315496792</v>
      </c>
      <c r="Z20" s="22" t="n">
        <v>131720.5463527218</v>
      </c>
      <c r="AA20" s="22" t="n">
        <v>9234.989878790597</v>
      </c>
      <c r="AB20" s="22" t="n">
        <v>186023.0695119833</v>
      </c>
      <c r="AC20" s="22" t="n">
        <v>158393.7561137637</v>
      </c>
      <c r="AD20" s="22" t="n">
        <v>142679.4718550423</v>
      </c>
      <c r="AE20" s="22" t="n">
        <v>31152.70819128997</v>
      </c>
      <c r="AF20" s="22" t="n">
        <v>20873.00622296778</v>
      </c>
      <c r="AG20" s="22" t="n">
        <v>6818240.457066881</v>
      </c>
      <c r="AH20" s="22" t="n">
        <v>130335.6298560113</v>
      </c>
      <c r="AI20" s="22" t="n">
        <v>8190.252310396923</v>
      </c>
      <c r="AJ20" s="22" t="n">
        <v>174861.6853412643</v>
      </c>
      <c r="AK20" s="22" t="n">
        <v>182893.3659440713</v>
      </c>
      <c r="AL20" s="22" t="n">
        <v>185049.2587847144</v>
      </c>
      <c r="AM20" s="22" t="n">
        <v>557.3155123875224</v>
      </c>
      <c r="AN20" s="22" t="n">
        <v>489.7329116722378</v>
      </c>
      <c r="AO20" s="22" t="n">
        <v>12415206.88955249</v>
      </c>
      <c r="AP20" s="22" t="n">
        <v>259909.3194869483</v>
      </c>
      <c r="AQ20" s="22" t="n">
        <v>410.8993345421327</v>
      </c>
      <c r="AR20" s="22" t="n">
        <v>186023.0695119833</v>
      </c>
      <c r="AS20" s="22" t="n">
        <v>172768.5158279661</v>
      </c>
      <c r="AT20" s="22" t="n">
        <v>174861.6853412643</v>
      </c>
      <c r="AU20" s="22" t="n">
        <v>1.666853574125962e-13</v>
      </c>
      <c r="AV20" s="22" t="n">
        <v>1.134553140600289e-13</v>
      </c>
      <c r="AW20" s="22" t="n">
        <v>12528933.17409571</v>
      </c>
      <c r="AX20" s="22" t="n">
        <v>262800</v>
      </c>
      <c r="AY20" s="22" t="n">
        <v>0</v>
      </c>
      <c r="AZ20" s="22" t="n">
        <v>174861.6853412643</v>
      </c>
    </row>
    <row r="21">
      <c r="A21" t="n">
        <v>16</v>
      </c>
      <c r="B21" t="n">
        <v>2045</v>
      </c>
      <c r="C21" s="21" t="n">
        <v>0.048463042066233</v>
      </c>
      <c r="D21" s="21" t="n">
        <v>0.1176650470426801</v>
      </c>
      <c r="E21" s="22" t="n">
        <v>168837.4776228134</v>
      </c>
      <c r="F21" s="22" t="n">
        <v>152912.8768209818</v>
      </c>
      <c r="G21" s="22" t="n">
        <v>30354.50639087231</v>
      </c>
      <c r="H21" s="22" t="n">
        <v>20361.89980359122</v>
      </c>
      <c r="I21" s="22" t="n">
        <v>6878981.157719171</v>
      </c>
      <c r="J21" s="22" t="n">
        <v>131518.6329043522</v>
      </c>
      <c r="K21" s="22" t="n">
        <v>9147.640949602039</v>
      </c>
      <c r="L21" s="22" t="n">
        <v>185465.0003034473</v>
      </c>
      <c r="M21" s="22" t="n">
        <v>157841.2305585796</v>
      </c>
      <c r="N21" s="22" t="n">
        <v>142142.8495901666</v>
      </c>
      <c r="O21" s="22" t="n">
        <v>31206.48291300556</v>
      </c>
      <c r="P21" s="22" t="n">
        <v>20901.76863317013</v>
      </c>
      <c r="Q21" s="22" t="n">
        <v>6814588.389618047</v>
      </c>
      <c r="R21" s="22" t="n">
        <v>130251.5075993908</v>
      </c>
      <c r="S21" s="22" t="n">
        <v>8169.229277636945</v>
      </c>
      <c r="T21" s="22" t="n">
        <v>174337.1002852405</v>
      </c>
      <c r="U21" s="22" t="n">
        <v>168837.4776228131</v>
      </c>
      <c r="V21" s="22" t="n">
        <v>152912.8768209733</v>
      </c>
      <c r="W21" s="22" t="n">
        <v>30354.50639087118</v>
      </c>
      <c r="X21" s="22" t="n">
        <v>20361.89980358832</v>
      </c>
      <c r="Y21" s="22" t="n">
        <v>6878981.157722352</v>
      </c>
      <c r="Z21" s="22" t="n">
        <v>131518.6329043983</v>
      </c>
      <c r="AA21" s="22" t="n">
        <v>9147.640949613868</v>
      </c>
      <c r="AB21" s="22" t="n">
        <v>185465.0003034473</v>
      </c>
      <c r="AC21" s="22" t="n">
        <v>157841.2305585788</v>
      </c>
      <c r="AD21" s="22" t="n">
        <v>142142.8495901581</v>
      </c>
      <c r="AE21" s="22" t="n">
        <v>31206.48291300502</v>
      </c>
      <c r="AF21" s="22" t="n">
        <v>20901.76863316827</v>
      </c>
      <c r="AG21" s="22" t="n">
        <v>6814588.389620818</v>
      </c>
      <c r="AH21" s="22" t="n">
        <v>130251.5075994355</v>
      </c>
      <c r="AI21" s="22" t="n">
        <v>8169.229277647622</v>
      </c>
      <c r="AJ21" s="22" t="n">
        <v>174337.1002852405</v>
      </c>
      <c r="AK21" s="22" t="n">
        <v>182466.2614079016</v>
      </c>
      <c r="AL21" s="22" t="n">
        <v>184640.1107622995</v>
      </c>
      <c r="AM21" s="22" t="n">
        <v>472.1257568060067</v>
      </c>
      <c r="AN21" s="22" t="n">
        <v>414.8399123999132</v>
      </c>
      <c r="AO21" s="22" t="n">
        <v>12432598.61949863</v>
      </c>
      <c r="AP21" s="22" t="n">
        <v>260351.3803090836</v>
      </c>
      <c r="AQ21" s="22" t="n">
        <v>348.0620556306837</v>
      </c>
      <c r="AR21" s="22" t="n">
        <v>185465.0003034473</v>
      </c>
      <c r="AS21" s="22" t="n">
        <v>172237.0669476454</v>
      </c>
      <c r="AT21" s="22" t="n">
        <v>174337.1002852405</v>
      </c>
      <c r="AU21" s="22" t="n">
        <v>1.625709534945673e-13</v>
      </c>
      <c r="AV21" s="22" t="n">
        <v>1.109913830232908e-13</v>
      </c>
      <c r="AW21" s="22" t="n">
        <v>12528933.17409571</v>
      </c>
      <c r="AX21" s="22" t="n">
        <v>262800</v>
      </c>
      <c r="AY21" s="22" t="n">
        <v>0</v>
      </c>
      <c r="AZ21" s="22" t="n">
        <v>174337.1002852405</v>
      </c>
    </row>
    <row r="22">
      <c r="A22" t="n">
        <v>17</v>
      </c>
      <c r="B22" t="n">
        <v>2046</v>
      </c>
      <c r="C22" s="21" t="n">
        <v>0.048463042066233</v>
      </c>
      <c r="D22" s="21" t="n">
        <v>0.1227959863031266</v>
      </c>
      <c r="E22" s="22" t="n">
        <v>168353.0412900909</v>
      </c>
      <c r="F22" s="22" t="n">
        <v>152409.6815859619</v>
      </c>
      <c r="G22" s="22" t="n">
        <v>30408.60966917797</v>
      </c>
      <c r="H22" s="22" t="n">
        <v>20391.71578991597</v>
      </c>
      <c r="I22" s="22" t="n">
        <v>6870247.160531039</v>
      </c>
      <c r="J22" s="22" t="n">
        <v>131318.7643162404</v>
      </c>
      <c r="K22" s="22" t="n">
        <v>9060.169935062426</v>
      </c>
      <c r="L22" s="22" t="n">
        <v>184908.6053025369</v>
      </c>
      <c r="M22" s="22" t="n">
        <v>157290.7075870986</v>
      </c>
      <c r="N22" s="22" t="n">
        <v>141608.3319124191</v>
      </c>
      <c r="O22" s="22" t="n">
        <v>31259.64099420842</v>
      </c>
      <c r="P22" s="22" t="n">
        <v>20930.31999202642</v>
      </c>
      <c r="Q22" s="22" t="n">
        <v>6811018.250153368</v>
      </c>
      <c r="R22" s="22" t="n">
        <v>130169.6883651674</v>
      </c>
      <c r="S22" s="22" t="n">
        <v>8147.918000670834</v>
      </c>
      <c r="T22" s="22" t="n">
        <v>173814.0889843847</v>
      </c>
      <c r="U22" s="22" t="n">
        <v>168353.0412900905</v>
      </c>
      <c r="V22" s="22" t="n">
        <v>152409.6815859533</v>
      </c>
      <c r="W22" s="22" t="n">
        <v>30408.60966917692</v>
      </c>
      <c r="X22" s="22" t="n">
        <v>20391.71578991315</v>
      </c>
      <c r="Y22" s="22" t="n">
        <v>6870247.160534235</v>
      </c>
      <c r="Z22" s="22" t="n">
        <v>131318.764316287</v>
      </c>
      <c r="AA22" s="22" t="n">
        <v>9060.169935074318</v>
      </c>
      <c r="AB22" s="22" t="n">
        <v>184908.6053025369</v>
      </c>
      <c r="AC22" s="22" t="n">
        <v>157290.7075870978</v>
      </c>
      <c r="AD22" s="22" t="n">
        <v>141608.3319124106</v>
      </c>
      <c r="AE22" s="22" t="n">
        <v>31259.64099420791</v>
      </c>
      <c r="AF22" s="22" t="n">
        <v>20930.31999202461</v>
      </c>
      <c r="AG22" s="22" t="n">
        <v>6811018.250156097</v>
      </c>
      <c r="AH22" s="22" t="n">
        <v>130169.6883652116</v>
      </c>
      <c r="AI22" s="22" t="n">
        <v>8147.918000681416</v>
      </c>
      <c r="AJ22" s="22" t="n">
        <v>173814.0889843847</v>
      </c>
      <c r="AK22" s="22" t="n">
        <v>182040.9442922861</v>
      </c>
      <c r="AL22" s="22" t="n">
        <v>184232.1901839518</v>
      </c>
      <c r="AM22" s="22" t="n">
        <v>387.1766531380577</v>
      </c>
      <c r="AN22" s="22" t="n">
        <v>340.1715921254016</v>
      </c>
      <c r="AO22" s="22" t="n">
        <v>12449938.17425493</v>
      </c>
      <c r="AP22" s="22" t="n">
        <v>260792.1149487524</v>
      </c>
      <c r="AQ22" s="22" t="n">
        <v>285.4132885559671</v>
      </c>
      <c r="AR22" s="22" t="n">
        <v>184908.6053025369</v>
      </c>
      <c r="AS22" s="22" t="n">
        <v>171707.7558402271</v>
      </c>
      <c r="AT22" s="22" t="n">
        <v>173814.0889843847</v>
      </c>
      <c r="AU22" s="22" t="n">
        <v>1.584918072426502e-13</v>
      </c>
      <c r="AV22" s="22" t="n">
        <v>1.085357447498935e-13</v>
      </c>
      <c r="AW22" s="22" t="n">
        <v>12528933.17409571</v>
      </c>
      <c r="AX22" s="22" t="n">
        <v>262800</v>
      </c>
      <c r="AY22" s="22" t="n">
        <v>0</v>
      </c>
      <c r="AZ22" s="22" t="n">
        <v>173814.0889843847</v>
      </c>
    </row>
    <row r="23">
      <c r="A23" t="n">
        <v>18</v>
      </c>
      <c r="B23" t="n">
        <v>2047</v>
      </c>
      <c r="C23" s="21" t="n">
        <v>0.048463042066233</v>
      </c>
      <c r="D23" s="21" t="n">
        <v>0.128132163133991</v>
      </c>
      <c r="E23" s="22" t="n">
        <v>167870.4502715352</v>
      </c>
      <c r="F23" s="22" t="n">
        <v>151908.4634270346</v>
      </c>
      <c r="G23" s="22" t="n">
        <v>30462.15831811065</v>
      </c>
      <c r="H23" s="22" t="n">
        <v>20421.35566198499</v>
      </c>
      <c r="I23" s="22" t="n">
        <v>6861590.367843194</v>
      </c>
      <c r="J23" s="22" t="n">
        <v>131120.8889497071</v>
      </c>
      <c r="K23" s="22" t="n">
        <v>8972.593459611962</v>
      </c>
      <c r="L23" s="22" t="n">
        <v>184353.8794866293</v>
      </c>
      <c r="M23" s="22" t="n">
        <v>156742.166306412</v>
      </c>
      <c r="N23" s="22" t="n">
        <v>141075.8918795859</v>
      </c>
      <c r="O23" s="22" t="n">
        <v>31312.20149992921</v>
      </c>
      <c r="P23" s="22" t="n">
        <v>20958.66595816067</v>
      </c>
      <c r="Q23" s="22" t="n">
        <v>6807527.02205094</v>
      </c>
      <c r="R23" s="22" t="n">
        <v>130090.0842145678</v>
      </c>
      <c r="S23" s="22" t="n">
        <v>8126.334196281679</v>
      </c>
      <c r="T23" s="22" t="n">
        <v>173292.6467174316</v>
      </c>
      <c r="U23" s="22" t="n">
        <v>167870.4502715347</v>
      </c>
      <c r="V23" s="22" t="n">
        <v>151908.4634270259</v>
      </c>
      <c r="W23" s="22" t="n">
        <v>30462.15831810968</v>
      </c>
      <c r="X23" s="22" t="n">
        <v>20421.35566198224</v>
      </c>
      <c r="Y23" s="22" t="n">
        <v>6861590.367846401</v>
      </c>
      <c r="Z23" s="22" t="n">
        <v>131120.8889497541</v>
      </c>
      <c r="AA23" s="22" t="n">
        <v>8972.593459623915</v>
      </c>
      <c r="AB23" s="22" t="n">
        <v>184353.8794866293</v>
      </c>
      <c r="AC23" s="22" t="n">
        <v>156742.1663064113</v>
      </c>
      <c r="AD23" s="22" t="n">
        <v>141075.8918795775</v>
      </c>
      <c r="AE23" s="22" t="n">
        <v>31312.20149992871</v>
      </c>
      <c r="AF23" s="22" t="n">
        <v>20958.6659581589</v>
      </c>
      <c r="AG23" s="22" t="n">
        <v>6807527.022053626</v>
      </c>
      <c r="AH23" s="22" t="n">
        <v>130090.0842146116</v>
      </c>
      <c r="AI23" s="22" t="n">
        <v>8126.334196292167</v>
      </c>
      <c r="AJ23" s="22" t="n">
        <v>173292.6467174316</v>
      </c>
      <c r="AK23" s="22" t="n">
        <v>181617.3894278746</v>
      </c>
      <c r="AL23" s="22" t="n">
        <v>183825.4933673391</v>
      </c>
      <c r="AM23" s="22" t="n">
        <v>302.4683279177484</v>
      </c>
      <c r="AN23" s="22" t="n">
        <v>265.7272768117143</v>
      </c>
      <c r="AO23" s="22" t="n">
        <v>12467225.71034696</v>
      </c>
      <c r="AP23" s="22" t="n">
        <v>261231.5273845023</v>
      </c>
      <c r="AQ23" s="22" t="n">
        <v>222.9524677824766</v>
      </c>
      <c r="AR23" s="22" t="n">
        <v>184353.8794866293</v>
      </c>
      <c r="AS23" s="22" t="n">
        <v>171180.5536238068</v>
      </c>
      <c r="AT23" s="22" t="n">
        <v>173292.6467174316</v>
      </c>
      <c r="AU23" s="22" t="n">
        <v>1.54446571405451e-13</v>
      </c>
      <c r="AV23" s="22" t="n">
        <v>1.060881972022938e-13</v>
      </c>
      <c r="AW23" s="22" t="n">
        <v>12528933.17409571</v>
      </c>
      <c r="AX23" s="22" t="n">
        <v>262800</v>
      </c>
      <c r="AY23" s="22" t="n">
        <v>0</v>
      </c>
      <c r="AZ23" s="22" t="n">
        <v>173292.6467174316</v>
      </c>
    </row>
    <row r="24">
      <c r="A24" t="n">
        <v>19</v>
      </c>
      <c r="B24" t="n">
        <v>2048</v>
      </c>
      <c r="C24" s="21" t="n">
        <v>0.048463042066233</v>
      </c>
      <c r="D24" s="21" t="n">
        <v>0.1336817870380899</v>
      </c>
      <c r="E24" s="22" t="n">
        <v>167389.6817894576</v>
      </c>
      <c r="F24" s="22" t="n">
        <v>151409.197559343</v>
      </c>
      <c r="G24" s="22" t="n">
        <v>30515.16804870054</v>
      </c>
      <c r="H24" s="22" t="n">
        <v>20450.82280356878</v>
      </c>
      <c r="I24" s="22" t="n">
        <v>6853008.882756645</v>
      </c>
      <c r="J24" s="22" t="n">
        <v>130924.9566640666</v>
      </c>
      <c r="K24" s="22" t="n">
        <v>8884.927411161194</v>
      </c>
      <c r="L24" s="22" t="n">
        <v>183800.8178481695</v>
      </c>
      <c r="M24" s="22" t="n">
        <v>156195.5865255966</v>
      </c>
      <c r="N24" s="22" t="n">
        <v>140545.5034898583</v>
      </c>
      <c r="O24" s="22" t="n">
        <v>31364.18278816553</v>
      </c>
      <c r="P24" s="22" t="n">
        <v>20986.81197055254</v>
      </c>
      <c r="Q24" s="22" t="n">
        <v>6804111.806013564</v>
      </c>
      <c r="R24" s="22" t="n">
        <v>130012.6106784426</v>
      </c>
      <c r="S24" s="22" t="n">
        <v>8104.492907475545</v>
      </c>
      <c r="T24" s="22" t="n">
        <v>172772.7687772793</v>
      </c>
      <c r="U24" s="22" t="n">
        <v>167389.681789457</v>
      </c>
      <c r="V24" s="22" t="n">
        <v>151409.197559334</v>
      </c>
      <c r="W24" s="22" t="n">
        <v>30515.16804869967</v>
      </c>
      <c r="X24" s="22" t="n">
        <v>20450.82280356609</v>
      </c>
      <c r="Y24" s="22" t="n">
        <v>6853008.882759864</v>
      </c>
      <c r="Z24" s="22" t="n">
        <v>130924.956664114</v>
      </c>
      <c r="AA24" s="22" t="n">
        <v>8884.927411173212</v>
      </c>
      <c r="AB24" s="22" t="n">
        <v>183800.8178481695</v>
      </c>
      <c r="AC24" s="22" t="n">
        <v>156195.5865255959</v>
      </c>
      <c r="AD24" s="22" t="n">
        <v>140545.5034898499</v>
      </c>
      <c r="AE24" s="22" t="n">
        <v>31364.18278816506</v>
      </c>
      <c r="AF24" s="22" t="n">
        <v>20986.81197055082</v>
      </c>
      <c r="AG24" s="22" t="n">
        <v>6804111.806016207</v>
      </c>
      <c r="AH24" s="22" t="n">
        <v>130012.6106784861</v>
      </c>
      <c r="AI24" s="22" t="n">
        <v>8104.492907485937</v>
      </c>
      <c r="AJ24" s="22" t="n">
        <v>172772.7687772793</v>
      </c>
      <c r="AK24" s="22" t="n">
        <v>181195.572496753</v>
      </c>
      <c r="AL24" s="22" t="n">
        <v>183420.0166411764</v>
      </c>
      <c r="AM24" s="22" t="n">
        <v>218.0008633056516</v>
      </c>
      <c r="AN24" s="22" t="n">
        <v>191.5062944439677</v>
      </c>
      <c r="AO24" s="22" t="n">
        <v>12484461.38383072</v>
      </c>
      <c r="AP24" s="22" t="n">
        <v>261669.6215829449</v>
      </c>
      <c r="AQ24" s="22" t="n">
        <v>160.6790294713078</v>
      </c>
      <c r="AR24" s="22" t="n">
        <v>183800.8178481695</v>
      </c>
      <c r="AS24" s="22" t="n">
        <v>170655.4324321153</v>
      </c>
      <c r="AT24" s="22" t="n">
        <v>172772.7687772793</v>
      </c>
      <c r="AU24" s="22" t="n">
        <v>1.504339654134496e-13</v>
      </c>
      <c r="AV24" s="22" t="n">
        <v>1.036485516549765e-13</v>
      </c>
      <c r="AW24" s="22" t="n">
        <v>12528933.17409571</v>
      </c>
      <c r="AX24" s="22" t="n">
        <v>262800</v>
      </c>
      <c r="AY24" s="22" t="n">
        <v>0</v>
      </c>
      <c r="AZ24" s="22" t="n">
        <v>172772.7687772793</v>
      </c>
    </row>
    <row r="25">
      <c r="A25" t="n">
        <v>20</v>
      </c>
      <c r="B25" t="n">
        <v>2049</v>
      </c>
      <c r="C25" s="21" t="n">
        <v>0.048463042066233</v>
      </c>
      <c r="D25" s="21" t="n">
        <v>0.1394533958983528</v>
      </c>
      <c r="E25" s="22" t="n">
        <v>166910.7138871452</v>
      </c>
      <c r="F25" s="22" t="n">
        <v>150911.8600336289</v>
      </c>
      <c r="G25" s="22" t="n">
        <v>30567.65402765564</v>
      </c>
      <c r="H25" s="22" t="n">
        <v>20480.12049822134</v>
      </c>
      <c r="I25" s="22" t="n">
        <v>6844500.865859638</v>
      </c>
      <c r="J25" s="22" t="n">
        <v>130730.9187772654</v>
      </c>
      <c r="K25" s="22" t="n">
        <v>8797.186972235899</v>
      </c>
      <c r="L25" s="22" t="n">
        <v>183249.4153946249</v>
      </c>
      <c r="M25" s="22" t="n">
        <v>155650.9487262581</v>
      </c>
      <c r="N25" s="22" t="n">
        <v>140017.1416432231</v>
      </c>
      <c r="O25" s="22" t="n">
        <v>31415.60253648969</v>
      </c>
      <c r="P25" s="22" t="n">
        <v>21014.76325738093</v>
      </c>
      <c r="Q25" s="22" t="n">
        <v>6800769.815479303</v>
      </c>
      <c r="R25" s="22" t="n">
        <v>129937.1866198241</v>
      </c>
      <c r="S25" s="22" t="n">
        <v>8082.408531884263</v>
      </c>
      <c r="T25" s="22" t="n">
        <v>172254.4504709474</v>
      </c>
      <c r="U25" s="22" t="n">
        <v>166910.7138871445</v>
      </c>
      <c r="V25" s="22" t="n">
        <v>150911.8600336198</v>
      </c>
      <c r="W25" s="22" t="n">
        <v>30567.65402765483</v>
      </c>
      <c r="X25" s="22" t="n">
        <v>20480.12049821872</v>
      </c>
      <c r="Y25" s="22" t="n">
        <v>6844500.865862866</v>
      </c>
      <c r="Z25" s="22" t="n">
        <v>130730.9187773133</v>
      </c>
      <c r="AA25" s="22" t="n">
        <v>8797.186972247975</v>
      </c>
      <c r="AB25" s="22" t="n">
        <v>183249.4153946249</v>
      </c>
      <c r="AC25" s="22" t="n">
        <v>155650.9487262575</v>
      </c>
      <c r="AD25" s="22" t="n">
        <v>140017.1416432146</v>
      </c>
      <c r="AE25" s="22" t="n">
        <v>31415.60253648923</v>
      </c>
      <c r="AF25" s="22" t="n">
        <v>21014.76325737925</v>
      </c>
      <c r="AG25" s="22" t="n">
        <v>6800769.815481907</v>
      </c>
      <c r="AH25" s="22" t="n">
        <v>129937.1866198673</v>
      </c>
      <c r="AI25" s="22" t="n">
        <v>8082.408531894564</v>
      </c>
      <c r="AJ25" s="22" t="n">
        <v>172254.4504709474</v>
      </c>
      <c r="AK25" s="22" t="n">
        <v>180775.4699994621</v>
      </c>
      <c r="AL25" s="22" t="n">
        <v>183015.7563451921</v>
      </c>
      <c r="AM25" s="22" t="n">
        <v>133.7742993837167</v>
      </c>
      <c r="AN25" s="22" t="n">
        <v>117.5079750233213</v>
      </c>
      <c r="AO25" s="22" t="n">
        <v>12501645.35029403</v>
      </c>
      <c r="AP25" s="22" t="n">
        <v>262106.4014987921</v>
      </c>
      <c r="AQ25" s="22" t="n">
        <v>98.59241147507092</v>
      </c>
      <c r="AR25" s="22" t="n">
        <v>183249.4153946249</v>
      </c>
      <c r="AS25" s="22" t="n">
        <v>170132.3653730616</v>
      </c>
      <c r="AT25" s="22" t="n">
        <v>172254.4504709474</v>
      </c>
      <c r="AU25" s="22" t="n">
        <v>1.464527721540346e-13</v>
      </c>
      <c r="AV25" s="22" t="n">
        <v>1.012166319222133e-13</v>
      </c>
      <c r="AW25" s="22" t="n">
        <v>12528933.17409571</v>
      </c>
      <c r="AX25" s="22" t="n">
        <v>262800</v>
      </c>
      <c r="AY25" s="22" t="n">
        <v>0</v>
      </c>
      <c r="AZ25" s="22" t="n">
        <v>172254.4504709474</v>
      </c>
    </row>
    <row r="26">
      <c r="A26" t="n">
        <v>21</v>
      </c>
      <c r="B26" t="n">
        <v>2050</v>
      </c>
      <c r="C26" s="21" t="n">
        <v>0.048463042066233</v>
      </c>
      <c r="D26" s="21" t="n">
        <v>0.1454558691130263</v>
      </c>
      <c r="E26" s="22" t="n">
        <v>166433.5253937501</v>
      </c>
      <c r="F26" s="22" t="n">
        <v>150416.4277029548</v>
      </c>
      <c r="G26" s="22" t="n">
        <v>30619.63089633596</v>
      </c>
      <c r="H26" s="22" t="n">
        <v>20509.25193222792</v>
      </c>
      <c r="I26" s="22" t="n">
        <v>6836064.533569613</v>
      </c>
      <c r="J26" s="22" t="n">
        <v>130538.7280273278</v>
      </c>
      <c r="K26" s="22" t="n">
        <v>8709.38664982202</v>
      </c>
      <c r="L26" s="22" t="n">
        <v>182699.6671484411</v>
      </c>
      <c r="M26" s="22" t="n">
        <v>155108.23403433</v>
      </c>
      <c r="N26" s="22" t="n">
        <v>139490.7821044492</v>
      </c>
      <c r="O26" s="22" t="n">
        <v>31466.47776765491</v>
      </c>
      <c r="P26" s="22" t="n">
        <v>21042.52484450819</v>
      </c>
      <c r="Q26" s="22" t="n">
        <v>6797498.372214411</v>
      </c>
      <c r="R26" s="22" t="n">
        <v>129863.7341019786</v>
      </c>
      <c r="S26" s="22" t="n">
        <v>8060.094848983948</v>
      </c>
      <c r="T26" s="22" t="n">
        <v>171737.6871195346</v>
      </c>
      <c r="U26" s="22" t="n">
        <v>166433.5253937494</v>
      </c>
      <c r="V26" s="22" t="n">
        <v>150416.4277029455</v>
      </c>
      <c r="W26" s="22" t="n">
        <v>30619.63089633521</v>
      </c>
      <c r="X26" s="22" t="n">
        <v>20509.25193222536</v>
      </c>
      <c r="Y26" s="22" t="n">
        <v>6836064.533572853</v>
      </c>
      <c r="Z26" s="22" t="n">
        <v>130538.728027376</v>
      </c>
      <c r="AA26" s="22" t="n">
        <v>8709.386649834152</v>
      </c>
      <c r="AB26" s="22" t="n">
        <v>182699.6671484411</v>
      </c>
      <c r="AC26" s="22" t="n">
        <v>155108.2340343293</v>
      </c>
      <c r="AD26" s="22" t="n">
        <v>139490.7821044409</v>
      </c>
      <c r="AE26" s="22" t="n">
        <v>31466.47776765446</v>
      </c>
      <c r="AF26" s="22" t="n">
        <v>21042.52484450656</v>
      </c>
      <c r="AG26" s="22" t="n">
        <v>6797498.372216974</v>
      </c>
      <c r="AH26" s="22" t="n">
        <v>129863.7341020215</v>
      </c>
      <c r="AI26" s="22" t="n">
        <v>8060.094848994151</v>
      </c>
      <c r="AJ26" s="22" t="n">
        <v>171737.6871195346</v>
      </c>
      <c r="AK26" s="22" t="n">
        <v>180357.0592233097</v>
      </c>
      <c r="AL26" s="22" t="n">
        <v>182612.7088300957</v>
      </c>
      <c r="AM26" s="22" t="n">
        <v>49.78863634070071</v>
      </c>
      <c r="AN26" s="22" t="n">
        <v>43.73165056093642</v>
      </c>
      <c r="AO26" s="22" t="n">
        <v>12518777.76485794</v>
      </c>
      <c r="AP26" s="22" t="n">
        <v>262541.8710748918</v>
      </c>
      <c r="AQ26" s="22" t="n">
        <v>36.69205333282361</v>
      </c>
      <c r="AR26" s="22" t="n">
        <v>182699.6671484411</v>
      </c>
      <c r="AS26" s="22" t="n">
        <v>169611.3264889884</v>
      </c>
      <c r="AT26" s="22" t="n">
        <v>171737.6871195346</v>
      </c>
      <c r="AU26" s="22" t="n">
        <v>1.425018348980151e-13</v>
      </c>
      <c r="AV26" s="22" t="n">
        <v>9.879227362637762e-14</v>
      </c>
      <c r="AW26" s="22" t="n">
        <v>12528933.17409571</v>
      </c>
      <c r="AX26" s="22" t="n">
        <v>262800</v>
      </c>
      <c r="AY26" s="22" t="n">
        <v>0</v>
      </c>
      <c r="AZ26" s="22" t="n">
        <v>171737.6871195346</v>
      </c>
    </row>
    <row r="27">
      <c r="A27" t="n">
        <v>22</v>
      </c>
      <c r="B27" t="n">
        <v>2051</v>
      </c>
      <c r="C27" s="21" t="n">
        <v>0.048463042066233</v>
      </c>
      <c r="D27" s="21" t="n">
        <v>0.1516984412562866</v>
      </c>
      <c r="E27" s="22" t="n">
        <v>165917.4641445091</v>
      </c>
      <c r="F27" s="22" t="n">
        <v>149896.7754513407</v>
      </c>
      <c r="G27" s="22" t="n">
        <v>30671.63002198541</v>
      </c>
      <c r="H27" s="22" t="n">
        <v>20538.33958158108</v>
      </c>
      <c r="I27" s="22" t="n">
        <v>6829742.956637939</v>
      </c>
      <c r="J27" s="22" t="n">
        <v>130395.4770693329</v>
      </c>
      <c r="K27" s="22" t="n">
        <v>8647.505820274473</v>
      </c>
      <c r="L27" s="22" t="n">
        <v>182151.5681469958</v>
      </c>
      <c r="M27" s="22" t="n">
        <v>154567.4241930714</v>
      </c>
      <c r="N27" s="22" t="n">
        <v>138966.4014676145</v>
      </c>
      <c r="O27" s="22" t="n">
        <v>31516.82487423893</v>
      </c>
      <c r="P27" s="22" t="n">
        <v>21070.10156362171</v>
      </c>
      <c r="Q27" s="22" t="n">
        <v>6794294.902078743</v>
      </c>
      <c r="R27" s="22" t="n">
        <v>129792.1782616906</v>
      </c>
      <c r="S27" s="22" t="n">
        <v>8037.565046168666</v>
      </c>
      <c r="T27" s="22" t="n">
        <v>171222.474058176</v>
      </c>
      <c r="U27" s="22" t="n">
        <v>165917.4641445083</v>
      </c>
      <c r="V27" s="22" t="n">
        <v>149896.7754513315</v>
      </c>
      <c r="W27" s="22" t="n">
        <v>30671.6300219847</v>
      </c>
      <c r="X27" s="22" t="n">
        <v>20538.33958157858</v>
      </c>
      <c r="Y27" s="22" t="n">
        <v>6829742.956641169</v>
      </c>
      <c r="Z27" s="22" t="n">
        <v>130395.4770693812</v>
      </c>
      <c r="AA27" s="22" t="n">
        <v>8647.505820286602</v>
      </c>
      <c r="AB27" s="22" t="n">
        <v>182151.5681469958</v>
      </c>
      <c r="AC27" s="22" t="n">
        <v>154567.4241930707</v>
      </c>
      <c r="AD27" s="22" t="n">
        <v>138966.4014676063</v>
      </c>
      <c r="AE27" s="22" t="n">
        <v>31516.82487423849</v>
      </c>
      <c r="AF27" s="22" t="n">
        <v>21070.10156362013</v>
      </c>
      <c r="AG27" s="22" t="n">
        <v>6794294.902081268</v>
      </c>
      <c r="AH27" s="22" t="n">
        <v>129792.1782617331</v>
      </c>
      <c r="AI27" s="22" t="n">
        <v>8037.565046178774</v>
      </c>
      <c r="AJ27" s="22" t="n">
        <v>171222.474058176</v>
      </c>
      <c r="AK27" s="22" t="n">
        <v>179885.4156580527</v>
      </c>
      <c r="AL27" s="22" t="n">
        <v>182151.5681469958</v>
      </c>
      <c r="AM27" s="22" t="n">
        <v>2.200945087349995e-13</v>
      </c>
      <c r="AN27" s="22" t="n">
        <v>1.508423166408409e-13</v>
      </c>
      <c r="AO27" s="22" t="n">
        <v>12528933.17409571</v>
      </c>
      <c r="AP27" s="22" t="n">
        <v>262800</v>
      </c>
      <c r="AQ27" s="22" t="n">
        <v>0</v>
      </c>
      <c r="AR27" s="22" t="n">
        <v>182151.5681469958</v>
      </c>
      <c r="AS27" s="22" t="n">
        <v>169092.2907185695</v>
      </c>
      <c r="AT27" s="22" t="n">
        <v>171222.474058176</v>
      </c>
      <c r="AU27" s="22" t="n">
        <v>1.385800543706409e-13</v>
      </c>
      <c r="AV27" s="22" t="n">
        <v>9.637532350480404e-14</v>
      </c>
      <c r="AW27" s="22" t="n">
        <v>12528933.17409571</v>
      </c>
      <c r="AX27" s="22" t="n">
        <v>262800</v>
      </c>
      <c r="AY27" s="22" t="n">
        <v>0</v>
      </c>
      <c r="AZ27" s="22" t="n">
        <v>171222.474058176</v>
      </c>
    </row>
    <row r="28">
      <c r="A28" t="n">
        <v>23</v>
      </c>
      <c r="B28" t="n">
        <v>2052</v>
      </c>
      <c r="C28" s="21" t="n">
        <v>0.048463042066233</v>
      </c>
      <c r="D28" s="21" t="n">
        <v>0.1581907162852774</v>
      </c>
      <c r="E28" s="22" t="n">
        <v>165343.847967097</v>
      </c>
      <c r="F28" s="22" t="n">
        <v>149340.9225161838</v>
      </c>
      <c r="G28" s="22" t="n">
        <v>30723.88207723102</v>
      </c>
      <c r="H28" s="22" t="n">
        <v>20567.42170157017</v>
      </c>
      <c r="I28" s="22" t="n">
        <v>6826482.253688728</v>
      </c>
      <c r="J28" s="22" t="n">
        <v>130323.0766036931</v>
      </c>
      <c r="K28" s="22" t="n">
        <v>8623.476326864971</v>
      </c>
      <c r="L28" s="22" t="n">
        <v>181605.1134425548</v>
      </c>
      <c r="M28" s="22" t="n">
        <v>154028.5015372172</v>
      </c>
      <c r="N28" s="22" t="n">
        <v>138443.9771221059</v>
      </c>
      <c r="O28" s="22" t="n">
        <v>31566.65964236031</v>
      </c>
      <c r="P28" s="22" t="n">
        <v>21097.4980600464</v>
      </c>
      <c r="Q28" s="22" t="n">
        <v>6791156.930956927</v>
      </c>
      <c r="R28" s="22" t="n">
        <v>129722.4471875722</v>
      </c>
      <c r="S28" s="22" t="n">
        <v>8014.83174372731</v>
      </c>
      <c r="T28" s="22" t="n">
        <v>170708.8066360014</v>
      </c>
      <c r="U28" s="22" t="n">
        <v>165343.8479670962</v>
      </c>
      <c r="V28" s="22" t="n">
        <v>149340.9225161746</v>
      </c>
      <c r="W28" s="22" t="n">
        <v>30723.88207723034</v>
      </c>
      <c r="X28" s="22" t="n">
        <v>20567.42170156773</v>
      </c>
      <c r="Y28" s="22" t="n">
        <v>6826482.25369191</v>
      </c>
      <c r="Z28" s="22" t="n">
        <v>130323.0766037411</v>
      </c>
      <c r="AA28" s="22" t="n">
        <v>8623.476326877006</v>
      </c>
      <c r="AB28" s="22" t="n">
        <v>181605.1134425548</v>
      </c>
      <c r="AC28" s="22" t="n">
        <v>154028.5015372165</v>
      </c>
      <c r="AD28" s="22" t="n">
        <v>138443.9771220977</v>
      </c>
      <c r="AE28" s="22" t="n">
        <v>31566.65964235989</v>
      </c>
      <c r="AF28" s="22" t="n">
        <v>21097.49806004487</v>
      </c>
      <c r="AG28" s="22" t="n">
        <v>6791156.930959413</v>
      </c>
      <c r="AH28" s="22" t="n">
        <v>129722.4471876144</v>
      </c>
      <c r="AI28" s="22" t="n">
        <v>8014.831743737323</v>
      </c>
      <c r="AJ28" s="22" t="n">
        <v>170708.8066360014</v>
      </c>
      <c r="AK28" s="22" t="n">
        <v>179335.3551705107</v>
      </c>
      <c r="AL28" s="22" t="n">
        <v>181605.1134425548</v>
      </c>
      <c r="AM28" s="22" t="n">
        <v>2.158128734308176e-13</v>
      </c>
      <c r="AN28" s="22" t="n">
        <v>1.482124806401421e-13</v>
      </c>
      <c r="AO28" s="22" t="n">
        <v>12528933.17409571</v>
      </c>
      <c r="AP28" s="22" t="n">
        <v>262800</v>
      </c>
      <c r="AQ28" s="22" t="n">
        <v>0</v>
      </c>
      <c r="AR28" s="22" t="n">
        <v>181605.1134425548</v>
      </c>
      <c r="AS28" s="22" t="n">
        <v>168575.2338602801</v>
      </c>
      <c r="AT28" s="22" t="n">
        <v>170708.8066360014</v>
      </c>
      <c r="AU28" s="22" t="n">
        <v>1.34686385960494e-13</v>
      </c>
      <c r="AV28" s="22" t="n">
        <v>9.396563875328176e-14</v>
      </c>
      <c r="AW28" s="22" t="n">
        <v>12528933.17409571</v>
      </c>
      <c r="AX28" s="22" t="n">
        <v>262800</v>
      </c>
      <c r="AY28" s="22" t="n">
        <v>0</v>
      </c>
      <c r="AZ28" s="22" t="n">
        <v>170708.8066360014</v>
      </c>
    </row>
    <row r="29">
      <c r="A29" t="n">
        <v>24</v>
      </c>
      <c r="B29" t="n">
        <v>2053</v>
      </c>
      <c r="C29" s="21" t="n">
        <v>0.048463042066233</v>
      </c>
      <c r="D29" s="21" t="n">
        <v>0.1649426823154277</v>
      </c>
      <c r="E29" s="22" t="n">
        <v>164772.2325593001</v>
      </c>
      <c r="F29" s="22" t="n">
        <v>148787.1306670706</v>
      </c>
      <c r="G29" s="22" t="n">
        <v>30775.63463578033</v>
      </c>
      <c r="H29" s="22" t="n">
        <v>20596.31927334605</v>
      </c>
      <c r="I29" s="22" t="n">
        <v>6823285.717515538</v>
      </c>
      <c r="J29" s="22" t="n">
        <v>130252.4753727883</v>
      </c>
      <c r="K29" s="22" t="n">
        <v>8599.237235908169</v>
      </c>
      <c r="L29" s="22" t="n">
        <v>181060.298102227</v>
      </c>
      <c r="M29" s="22" t="n">
        <v>153491.4489682276</v>
      </c>
      <c r="N29" s="22" t="n">
        <v>137923.4872200344</v>
      </c>
      <c r="O29" s="22" t="n">
        <v>31615.99727450292</v>
      </c>
      <c r="P29" s="22" t="n">
        <v>21124.71880024164</v>
      </c>
      <c r="Q29" s="22" t="n">
        <v>6788082.080848783</v>
      </c>
      <c r="R29" s="22" t="n">
        <v>129654.4718031975</v>
      </c>
      <c r="S29" s="22" t="n">
        <v>7991.907018769816</v>
      </c>
      <c r="T29" s="22" t="n">
        <v>170196.6802160934</v>
      </c>
      <c r="U29" s="22" t="n">
        <v>164772.2325592993</v>
      </c>
      <c r="V29" s="22" t="n">
        <v>148787.1306670614</v>
      </c>
      <c r="W29" s="22" t="n">
        <v>30775.63463577966</v>
      </c>
      <c r="X29" s="22" t="n">
        <v>20596.31927334364</v>
      </c>
      <c r="Y29" s="22" t="n">
        <v>6823285.717518674</v>
      </c>
      <c r="Z29" s="22" t="n">
        <v>130252.4753728359</v>
      </c>
      <c r="AA29" s="22" t="n">
        <v>8599.237235920105</v>
      </c>
      <c r="AB29" s="22" t="n">
        <v>181060.298102227</v>
      </c>
      <c r="AC29" s="22" t="n">
        <v>153491.4489682269</v>
      </c>
      <c r="AD29" s="22" t="n">
        <v>137923.4872200261</v>
      </c>
      <c r="AE29" s="22" t="n">
        <v>31615.99727450253</v>
      </c>
      <c r="AF29" s="22" t="n">
        <v>21124.71880024015</v>
      </c>
      <c r="AG29" s="22" t="n">
        <v>6788082.08085123</v>
      </c>
      <c r="AH29" s="22" t="n">
        <v>129654.4718032394</v>
      </c>
      <c r="AI29" s="22" t="n">
        <v>7991.907018779733</v>
      </c>
      <c r="AJ29" s="22" t="n">
        <v>170196.6802160934</v>
      </c>
      <c r="AK29" s="22" t="n">
        <v>178787.3750397625</v>
      </c>
      <c r="AL29" s="22" t="n">
        <v>181060.298102227</v>
      </c>
      <c r="AM29" s="22" t="n">
        <v>2.115654515482468e-13</v>
      </c>
      <c r="AN29" s="22" t="n">
        <v>1.455927839011755e-13</v>
      </c>
      <c r="AO29" s="22" t="n">
        <v>12528933.17409571</v>
      </c>
      <c r="AP29" s="22" t="n">
        <v>262800</v>
      </c>
      <c r="AQ29" s="22" t="n">
        <v>0</v>
      </c>
      <c r="AR29" s="22" t="n">
        <v>181060.298102227</v>
      </c>
      <c r="AS29" s="22" t="n">
        <v>168060.1325373767</v>
      </c>
      <c r="AT29" s="22" t="n">
        <v>170196.6802160934</v>
      </c>
      <c r="AU29" s="22" t="n">
        <v>1.308198370599008e-13</v>
      </c>
      <c r="AV29" s="22" t="n">
        <v>9.15630864043596e-14</v>
      </c>
      <c r="AW29" s="22" t="n">
        <v>12528933.17409571</v>
      </c>
      <c r="AX29" s="22" t="n">
        <v>262800</v>
      </c>
      <c r="AY29" s="22" t="n">
        <v>0</v>
      </c>
      <c r="AZ29" s="22" t="n">
        <v>170196.6802160934</v>
      </c>
    </row>
    <row r="30">
      <c r="A30" t="n">
        <v>25</v>
      </c>
      <c r="B30" t="n">
        <v>2054</v>
      </c>
      <c r="C30" s="21" t="n">
        <v>0.048463042066233</v>
      </c>
      <c r="D30" s="21" t="n">
        <v>0.1719647269867842</v>
      </c>
      <c r="E30" s="22" t="n">
        <v>164202.5998736629</v>
      </c>
      <c r="F30" s="22" t="n">
        <v>148235.3773179242</v>
      </c>
      <c r="G30" s="22" t="n">
        <v>30826.90214330039</v>
      </c>
      <c r="H30" s="22" t="n">
        <v>20625.03677250505</v>
      </c>
      <c r="I30" s="22" t="n">
        <v>6820151.031324737</v>
      </c>
      <c r="J30" s="22" t="n">
        <v>130183.6054229774</v>
      </c>
      <c r="K30" s="22" t="n">
        <v>8574.801071024876</v>
      </c>
      <c r="L30" s="22" t="n">
        <v>180517.1172079204</v>
      </c>
      <c r="M30" s="22" t="n">
        <v>152956.2499305935</v>
      </c>
      <c r="N30" s="22" t="n">
        <v>137404.910645005</v>
      </c>
      <c r="O30" s="22" t="n">
        <v>31664.85241148163</v>
      </c>
      <c r="P30" s="22" t="n">
        <v>21151.76807899526</v>
      </c>
      <c r="Q30" s="22" t="n">
        <v>6785068.066112757</v>
      </c>
      <c r="R30" s="22" t="n">
        <v>129588.1857548712</v>
      </c>
      <c r="S30" s="22" t="n">
        <v>7968.802428146739</v>
      </c>
      <c r="T30" s="22" t="n">
        <v>169686.0901754452</v>
      </c>
      <c r="U30" s="22" t="n">
        <v>164202.5998736621</v>
      </c>
      <c r="V30" s="22" t="n">
        <v>148235.377317915</v>
      </c>
      <c r="W30" s="22" t="n">
        <v>30826.90214329974</v>
      </c>
      <c r="X30" s="22" t="n">
        <v>20625.0367725027</v>
      </c>
      <c r="Y30" s="22" t="n">
        <v>6820151.031327836</v>
      </c>
      <c r="Z30" s="22" t="n">
        <v>130183.6054230245</v>
      </c>
      <c r="AA30" s="22" t="n">
        <v>8574.801071036714</v>
      </c>
      <c r="AB30" s="22" t="n">
        <v>180517.1172079204</v>
      </c>
      <c r="AC30" s="22" t="n">
        <v>152956.2499305928</v>
      </c>
      <c r="AD30" s="22" t="n">
        <v>137404.9106449969</v>
      </c>
      <c r="AE30" s="22" t="n">
        <v>31664.85241148125</v>
      </c>
      <c r="AF30" s="22" t="n">
        <v>21151.76807899382</v>
      </c>
      <c r="AG30" s="22" t="n">
        <v>6785068.066115165</v>
      </c>
      <c r="AH30" s="22" t="n">
        <v>129588.1857549128</v>
      </c>
      <c r="AI30" s="22" t="n">
        <v>7968.802428156558</v>
      </c>
      <c r="AJ30" s="22" t="n">
        <v>169686.0901754452</v>
      </c>
      <c r="AK30" s="22" t="n">
        <v>178241.4512386422</v>
      </c>
      <c r="AL30" s="22" t="n">
        <v>180517.1172079204</v>
      </c>
      <c r="AM30" s="22" t="n">
        <v>2.073510334843331e-13</v>
      </c>
      <c r="AN30" s="22" t="n">
        <v>1.429829966692151e-13</v>
      </c>
      <c r="AO30" s="22" t="n">
        <v>12528933.17409571</v>
      </c>
      <c r="AP30" s="22" t="n">
        <v>262799.9999999999</v>
      </c>
      <c r="AQ30" s="22" t="n">
        <v>0</v>
      </c>
      <c r="AR30" s="22" t="n">
        <v>180517.1172079204</v>
      </c>
      <c r="AS30" s="22" t="n">
        <v>167546.9641643237</v>
      </c>
      <c r="AT30" s="22" t="n">
        <v>169686.0901754452</v>
      </c>
      <c r="AU30" s="22" t="n">
        <v>1.269794645308059e-13</v>
      </c>
      <c r="AV30" s="22" t="n">
        <v>8.916754273872681e-14</v>
      </c>
      <c r="AW30" s="22" t="n">
        <v>12528933.17409571</v>
      </c>
      <c r="AX30" s="22" t="n">
        <v>262800</v>
      </c>
      <c r="AY30" s="22" t="n">
        <v>0</v>
      </c>
      <c r="AZ30" s="22" t="n">
        <v>169686.0901754452</v>
      </c>
    </row>
    <row r="31">
      <c r="A31" t="n">
        <v>26</v>
      </c>
      <c r="B31" t="n">
        <v>2055</v>
      </c>
      <c r="C31" s="21" t="n">
        <v>0.048463042066233</v>
      </c>
      <c r="D31" s="21" t="n">
        <v>0.1792676534449948</v>
      </c>
      <c r="E31" s="22" t="n">
        <v>163634.9324330266</v>
      </c>
      <c r="F31" s="22" t="n">
        <v>147685.6406336958</v>
      </c>
      <c r="G31" s="22" t="n">
        <v>30877.69851387548</v>
      </c>
      <c r="H31" s="22" t="n">
        <v>20653.57850294783</v>
      </c>
      <c r="I31" s="22" t="n">
        <v>6817075.968323541</v>
      </c>
      <c r="J31" s="22" t="n">
        <v>130116.4014811176</v>
      </c>
      <c r="K31" s="22" t="n">
        <v>8550.179816913729</v>
      </c>
      <c r="L31" s="22" t="n">
        <v>179975.5658562967</v>
      </c>
      <c r="M31" s="22" t="n">
        <v>152422.88838915</v>
      </c>
      <c r="N31" s="22" t="n">
        <v>136888.2269821844</v>
      </c>
      <c r="O31" s="22" t="n">
        <v>31713.2391535817</v>
      </c>
      <c r="P31" s="22" t="n">
        <v>21178.65002632701</v>
      </c>
      <c r="Q31" s="22" t="n">
        <v>6782112.689856365</v>
      </c>
      <c r="R31" s="22" t="n">
        <v>129523.5253038462</v>
      </c>
      <c r="S31" s="22" t="n">
        <v>7945.529030404579</v>
      </c>
      <c r="T31" s="22" t="n">
        <v>169177.0319049188</v>
      </c>
      <c r="U31" s="22" t="n">
        <v>163634.9324330258</v>
      </c>
      <c r="V31" s="22" t="n">
        <v>147685.6406336866</v>
      </c>
      <c r="W31" s="22" t="n">
        <v>30877.69851387485</v>
      </c>
      <c r="X31" s="22" t="n">
        <v>20653.57850294553</v>
      </c>
      <c r="Y31" s="22" t="n">
        <v>6817075.968326594</v>
      </c>
      <c r="Z31" s="22" t="n">
        <v>130116.4014811645</v>
      </c>
      <c r="AA31" s="22" t="n">
        <v>8550.179816925473</v>
      </c>
      <c r="AB31" s="22" t="n">
        <v>179975.5658562967</v>
      </c>
      <c r="AC31" s="22" t="n">
        <v>152422.8883891493</v>
      </c>
      <c r="AD31" s="22" t="n">
        <v>136888.2269821762</v>
      </c>
      <c r="AE31" s="22" t="n">
        <v>31713.23915358133</v>
      </c>
      <c r="AF31" s="22" t="n">
        <v>21178.65002632561</v>
      </c>
      <c r="AG31" s="22" t="n">
        <v>6782112.689858736</v>
      </c>
      <c r="AH31" s="22" t="n">
        <v>129523.5253038874</v>
      </c>
      <c r="AI31" s="22" t="n">
        <v>7945.529030414303</v>
      </c>
      <c r="AJ31" s="22" t="n">
        <v>169177.0319049188</v>
      </c>
      <c r="AK31" s="22" t="n">
        <v>177697.5605474523</v>
      </c>
      <c r="AL31" s="22" t="n">
        <v>179975.5658562967</v>
      </c>
      <c r="AM31" s="22" t="n">
        <v>2.031684676280714e-13</v>
      </c>
      <c r="AN31" s="22" t="n">
        <v>1.403829022097795e-13</v>
      </c>
      <c r="AO31" s="22" t="n">
        <v>12528933.17409571</v>
      </c>
      <c r="AP31" s="22" t="n">
        <v>262800</v>
      </c>
      <c r="AQ31" s="22" t="n">
        <v>0</v>
      </c>
      <c r="AR31" s="22" t="n">
        <v>179975.5658562967</v>
      </c>
      <c r="AS31" s="22" t="n">
        <v>167035.7069146052</v>
      </c>
      <c r="AT31" s="22" t="n">
        <v>169177.0319049188</v>
      </c>
      <c r="AU31" s="22" t="n">
        <v>1.231643722903275e-13</v>
      </c>
      <c r="AV31" s="22" t="n">
        <v>8.677889272802068e-14</v>
      </c>
      <c r="AW31" s="22" t="n">
        <v>12528933.17409571</v>
      </c>
      <c r="AX31" s="22" t="n">
        <v>262800</v>
      </c>
      <c r="AY31" s="22" t="n">
        <v>0</v>
      </c>
      <c r="AZ31" s="22" t="n">
        <v>169177.0319049188</v>
      </c>
    </row>
    <row r="32">
      <c r="A32" t="n">
        <v>27</v>
      </c>
      <c r="B32" t="n">
        <v>2056</v>
      </c>
      <c r="C32" s="21" t="n">
        <v>0.048463042066233</v>
      </c>
      <c r="D32" s="21" t="n">
        <v>0.1868626969615339</v>
      </c>
      <c r="E32" s="22" t="n">
        <v>163069.2133067803</v>
      </c>
      <c r="F32" s="22" t="n">
        <v>147137.8994996654</v>
      </c>
      <c r="G32" s="22" t="n">
        <v>30928.03714997858</v>
      </c>
      <c r="H32" s="22" t="n">
        <v>20681.9486037886</v>
      </c>
      <c r="I32" s="22" t="n">
        <v>6814058.388200049</v>
      </c>
      <c r="J32" s="22" t="n">
        <v>130050.8008483474</v>
      </c>
      <c r="K32" s="22" t="n">
        <v>8525.384942064018</v>
      </c>
      <c r="L32" s="22" t="n">
        <v>179435.6391587278</v>
      </c>
      <c r="M32" s="22" t="n">
        <v>151891.348807358</v>
      </c>
      <c r="N32" s="22" t="n">
        <v>136373.4164896132</v>
      </c>
      <c r="O32" s="22" t="n">
        <v>31761.17108090273</v>
      </c>
      <c r="P32" s="22" t="n">
        <v>21205.36861411303</v>
      </c>
      <c r="Q32" s="22" t="n">
        <v>6779213.840467912</v>
      </c>
      <c r="R32" s="22" t="n">
        <v>129460.4292228143</v>
      </c>
      <c r="S32" s="22" t="n">
        <v>7922.097406817311</v>
      </c>
      <c r="T32" s="22" t="n">
        <v>168669.5008092041</v>
      </c>
      <c r="U32" s="22" t="n">
        <v>163069.2133067795</v>
      </c>
      <c r="V32" s="22" t="n">
        <v>147137.8994996563</v>
      </c>
      <c r="W32" s="22" t="n">
        <v>30928.03714997796</v>
      </c>
      <c r="X32" s="22" t="n">
        <v>20681.94860378634</v>
      </c>
      <c r="Y32" s="22" t="n">
        <v>6814058.388203059</v>
      </c>
      <c r="Z32" s="22" t="n">
        <v>130050.8008483939</v>
      </c>
      <c r="AA32" s="22" t="n">
        <v>8525.384942075661</v>
      </c>
      <c r="AB32" s="22" t="n">
        <v>179435.6391587278</v>
      </c>
      <c r="AC32" s="22" t="n">
        <v>151891.3488073573</v>
      </c>
      <c r="AD32" s="22" t="n">
        <v>136373.4164896052</v>
      </c>
      <c r="AE32" s="22" t="n">
        <v>31761.17108090238</v>
      </c>
      <c r="AF32" s="22" t="n">
        <v>21205.36861411167</v>
      </c>
      <c r="AG32" s="22" t="n">
        <v>6779213.840470247</v>
      </c>
      <c r="AH32" s="22" t="n">
        <v>129460.4292228553</v>
      </c>
      <c r="AI32" s="22" t="n">
        <v>7922.097406826937</v>
      </c>
      <c r="AJ32" s="22" t="n">
        <v>168669.5008092041</v>
      </c>
      <c r="AK32" s="22" t="n">
        <v>177155.6805211355</v>
      </c>
      <c r="AL32" s="22" t="n">
        <v>179435.6391587278</v>
      </c>
      <c r="AM32" s="22" t="n">
        <v>1.990166576081658e-13</v>
      </c>
      <c r="AN32" s="22" t="n">
        <v>1.377922961024567e-13</v>
      </c>
      <c r="AO32" s="22" t="n">
        <v>12528933.17409571</v>
      </c>
      <c r="AP32" s="22" t="n">
        <v>262800</v>
      </c>
      <c r="AQ32" s="22" t="n">
        <v>0</v>
      </c>
      <c r="AR32" s="22" t="n">
        <v>179435.6391587278</v>
      </c>
      <c r="AS32" s="22" t="n">
        <v>166526.3396898673</v>
      </c>
      <c r="AT32" s="22" t="n">
        <v>168669.5008092041</v>
      </c>
      <c r="AU32" s="22" t="n">
        <v>1.193737090104698e-13</v>
      </c>
      <c r="AV32" s="22" t="n">
        <v>8.439702950748664e-14</v>
      </c>
      <c r="AW32" s="22" t="n">
        <v>12528933.17409571</v>
      </c>
      <c r="AX32" s="22" t="n">
        <v>262800</v>
      </c>
      <c r="AY32" s="22" t="n">
        <v>0</v>
      </c>
      <c r="AZ32" s="22" t="n">
        <v>168669.5008092041</v>
      </c>
    </row>
    <row r="33">
      <c r="A33" t="n">
        <v>28</v>
      </c>
      <c r="B33" t="n">
        <v>2057</v>
      </c>
      <c r="C33" s="21" t="n">
        <v>0.048463042066233</v>
      </c>
      <c r="D33" s="21" t="n">
        <v>0.1947615422187346</v>
      </c>
      <c r="E33" s="22" t="n">
        <v>162505.4260881203</v>
      </c>
      <c r="F33" s="22" t="n">
        <v>146592.1334920189</v>
      </c>
      <c r="G33" s="22" t="n">
        <v>30977.93096169272</v>
      </c>
      <c r="H33" s="22" t="n">
        <v>20710.1510559852</v>
      </c>
      <c r="I33" s="22" t="n">
        <v>6811096.233741179</v>
      </c>
      <c r="J33" s="22" t="n">
        <v>129986.7432980839</v>
      </c>
      <c r="K33" s="22" t="n">
        <v>8500.427420514077</v>
      </c>
      <c r="L33" s="22" t="n">
        <v>178897.3322412516</v>
      </c>
      <c r="M33" s="22" t="n">
        <v>151361.6161265094</v>
      </c>
      <c r="N33" s="22" t="n">
        <v>135860.4600707115</v>
      </c>
      <c r="O33" s="22" t="n">
        <v>31808.66127293721</v>
      </c>
      <c r="P33" s="22" t="n">
        <v>21231.92766244293</v>
      </c>
      <c r="Q33" s="22" t="n">
        <v>6776369.488283908</v>
      </c>
      <c r="R33" s="22" t="n">
        <v>129398.8386965015</v>
      </c>
      <c r="S33" s="22" t="n">
        <v>7898.517681532927</v>
      </c>
      <c r="T33" s="22" t="n">
        <v>168163.4923067765</v>
      </c>
      <c r="U33" s="22" t="n">
        <v>162505.4260881195</v>
      </c>
      <c r="V33" s="22" t="n">
        <v>146592.1334920099</v>
      </c>
      <c r="W33" s="22" t="n">
        <v>30977.93096169212</v>
      </c>
      <c r="X33" s="22" t="n">
        <v>20710.15105598299</v>
      </c>
      <c r="Y33" s="22" t="n">
        <v>6811096.23374415</v>
      </c>
      <c r="Z33" s="22" t="n">
        <v>129986.7432981301</v>
      </c>
      <c r="AA33" s="22" t="n">
        <v>8500.427420525624</v>
      </c>
      <c r="AB33" s="22" t="n">
        <v>178897.3322412516</v>
      </c>
      <c r="AC33" s="22" t="n">
        <v>151361.6161265088</v>
      </c>
      <c r="AD33" s="22" t="n">
        <v>135860.4600707035</v>
      </c>
      <c r="AE33" s="22" t="n">
        <v>31808.66127293687</v>
      </c>
      <c r="AF33" s="22" t="n">
        <v>21231.92766244161</v>
      </c>
      <c r="AG33" s="22" t="n">
        <v>6776369.488286207</v>
      </c>
      <c r="AH33" s="22" t="n">
        <v>129398.8386965421</v>
      </c>
      <c r="AI33" s="22" t="n">
        <v>7898.517681542459</v>
      </c>
      <c r="AJ33" s="22" t="n">
        <v>168163.4923067765</v>
      </c>
      <c r="AK33" s="22" t="n">
        <v>176615.7894578023</v>
      </c>
      <c r="AL33" s="22" t="n">
        <v>178897.3322412516</v>
      </c>
      <c r="AM33" s="22" t="n">
        <v>1.94894559668361e-13</v>
      </c>
      <c r="AN33" s="22" t="n">
        <v>1.352109855704794e-13</v>
      </c>
      <c r="AO33" s="22" t="n">
        <v>12528933.17409571</v>
      </c>
      <c r="AP33" s="22" t="n">
        <v>262800</v>
      </c>
      <c r="AQ33" s="22" t="n">
        <v>0</v>
      </c>
      <c r="AR33" s="22" t="n">
        <v>178897.3322412516</v>
      </c>
      <c r="AS33" s="22" t="n">
        <v>166018.8420903341</v>
      </c>
      <c r="AT33" s="22" t="n">
        <v>168163.4923067765</v>
      </c>
      <c r="AU33" s="22" t="n">
        <v>1.156066659267201e-13</v>
      </c>
      <c r="AV33" s="22" t="n">
        <v>8.20218538769949e-14</v>
      </c>
      <c r="AW33" s="22" t="n">
        <v>12528933.17409571</v>
      </c>
      <c r="AX33" s="22" t="n">
        <v>262800</v>
      </c>
      <c r="AY33" s="22" t="n">
        <v>0</v>
      </c>
      <c r="AZ33" s="22" t="n">
        <v>168163.4923067765</v>
      </c>
    </row>
    <row r="34">
      <c r="A34" t="n">
        <v>29</v>
      </c>
      <c r="B34" t="n">
        <v>2058</v>
      </c>
      <c r="C34" s="21" t="n">
        <v>0.048463042066233</v>
      </c>
      <c r="D34" s="21" t="n">
        <v>0.2029763412862233</v>
      </c>
      <c r="E34" s="22" t="n">
        <v>161943.554872277</v>
      </c>
      <c r="F34" s="22" t="n">
        <v>146048.3228496476</v>
      </c>
      <c r="G34" s="22" t="n">
        <v>31027.39238521031</v>
      </c>
      <c r="H34" s="22" t="n">
        <v>20738.18968870095</v>
      </c>
      <c r="I34" s="22" t="n">
        <v>6808187.527583048</v>
      </c>
      <c r="J34" s="22" t="n">
        <v>129924.1709780691</v>
      </c>
      <c r="K34" s="22" t="n">
        <v>8475.317752695199</v>
      </c>
      <c r="L34" s="22" t="n">
        <v>178360.6402445278</v>
      </c>
      <c r="M34" s="22" t="n">
        <v>150833.6757458205</v>
      </c>
      <c r="N34" s="22" t="n">
        <v>135349.3392479267</v>
      </c>
      <c r="O34" s="22" t="n">
        <v>31855.7223274122</v>
      </c>
      <c r="P34" s="22" t="n">
        <v>21258.33084571986</v>
      </c>
      <c r="Q34" s="22" t="n">
        <v>6773577.682386935</v>
      </c>
      <c r="R34" s="22" t="n">
        <v>129338.6972262017</v>
      </c>
      <c r="S34" s="22" t="n">
        <v>7874.799540872178</v>
      </c>
      <c r="T34" s="22" t="n">
        <v>167659.0018298561</v>
      </c>
      <c r="U34" s="22" t="n">
        <v>161943.5548722762</v>
      </c>
      <c r="V34" s="22" t="n">
        <v>146048.3228496386</v>
      </c>
      <c r="W34" s="22" t="n">
        <v>31027.39238520973</v>
      </c>
      <c r="X34" s="22" t="n">
        <v>20738.18968869879</v>
      </c>
      <c r="Y34" s="22" t="n">
        <v>6808187.527585978</v>
      </c>
      <c r="Z34" s="22" t="n">
        <v>129924.1709781149</v>
      </c>
      <c r="AA34" s="22" t="n">
        <v>8475.317752706645</v>
      </c>
      <c r="AB34" s="22" t="n">
        <v>178360.6402445278</v>
      </c>
      <c r="AC34" s="22" t="n">
        <v>150833.6757458198</v>
      </c>
      <c r="AD34" s="22" t="n">
        <v>135349.3392479187</v>
      </c>
      <c r="AE34" s="22" t="n">
        <v>31855.72232741187</v>
      </c>
      <c r="AF34" s="22" t="n">
        <v>21258.3308457186</v>
      </c>
      <c r="AG34" s="22" t="n">
        <v>6773577.682389198</v>
      </c>
      <c r="AH34" s="22" t="n">
        <v>129338.6972262421</v>
      </c>
      <c r="AI34" s="22" t="n">
        <v>7874.799540881615</v>
      </c>
      <c r="AJ34" s="22" t="n">
        <v>167659.0018298561</v>
      </c>
      <c r="AK34" s="22" t="n">
        <v>176077.8663685592</v>
      </c>
      <c r="AL34" s="22" t="n">
        <v>178360.6402445278</v>
      </c>
      <c r="AM34" s="22" t="n">
        <v>1.908011801645416e-13</v>
      </c>
      <c r="AN34" s="22" t="n">
        <v>1.326387888443209e-13</v>
      </c>
      <c r="AO34" s="22" t="n">
        <v>12528933.17409571</v>
      </c>
      <c r="AP34" s="22" t="n">
        <v>262800</v>
      </c>
      <c r="AQ34" s="22" t="n">
        <v>0</v>
      </c>
      <c r="AR34" s="22" t="n">
        <v>178360.6402445278</v>
      </c>
      <c r="AS34" s="22" t="n">
        <v>165513.1943864457</v>
      </c>
      <c r="AT34" s="22" t="n">
        <v>167659.0018298561</v>
      </c>
      <c r="AU34" s="22" t="n">
        <v>1.118624747505018e-13</v>
      </c>
      <c r="AV34" s="22" t="n">
        <v>7.965327382898934e-14</v>
      </c>
      <c r="AW34" s="22" t="n">
        <v>12528933.17409571</v>
      </c>
      <c r="AX34" s="22" t="n">
        <v>262800</v>
      </c>
      <c r="AY34" s="22" t="n">
        <v>0</v>
      </c>
      <c r="AZ34" s="22" t="n">
        <v>167659.0018298561</v>
      </c>
    </row>
    <row r="35">
      <c r="A35" t="n">
        <v>30</v>
      </c>
      <c r="B35" t="n">
        <v>2059</v>
      </c>
      <c r="C35" s="21" t="n">
        <v>0.048463042066233</v>
      </c>
      <c r="D35" s="21" t="n">
        <v>0.2115197323164116</v>
      </c>
      <c r="E35" s="22" t="n">
        <v>161383.5842356665</v>
      </c>
      <c r="F35" s="22" t="n">
        <v>145506.4484471195</v>
      </c>
      <c r="G35" s="22" t="n">
        <v>31076.43340063763</v>
      </c>
      <c r="H35" s="22" t="n">
        <v>20766.06818540948</v>
      </c>
      <c r="I35" s="22" t="n">
        <v>6805330.369088599</v>
      </c>
      <c r="J35" s="22" t="n">
        <v>129863.0283163025</v>
      </c>
      <c r="K35" s="22" t="n">
        <v>8450.065985399469</v>
      </c>
      <c r="L35" s="22" t="n">
        <v>177825.5583237942</v>
      </c>
      <c r="M35" s="22" t="n">
        <v>150307.5135033717</v>
      </c>
      <c r="N35" s="22" t="n">
        <v>134840.0361374773</v>
      </c>
      <c r="O35" s="22" t="n">
        <v>31902.36637842201</v>
      </c>
      <c r="P35" s="22" t="n">
        <v>21284.58169851447</v>
      </c>
      <c r="Q35" s="22" t="n">
        <v>6770836.547528756</v>
      </c>
      <c r="R35" s="22" t="n">
        <v>129279.9505380971</v>
      </c>
      <c r="S35" s="22" t="n">
        <v>7850.952251815153</v>
      </c>
      <c r="T35" s="22" t="n">
        <v>167156.0248243666</v>
      </c>
      <c r="U35" s="22" t="n">
        <v>161383.5842356657</v>
      </c>
      <c r="V35" s="22" t="n">
        <v>145506.4484471106</v>
      </c>
      <c r="W35" s="22" t="n">
        <v>31076.43340063706</v>
      </c>
      <c r="X35" s="22" t="n">
        <v>20766.06818540737</v>
      </c>
      <c r="Y35" s="22" t="n">
        <v>6805330.36909149</v>
      </c>
      <c r="Z35" s="22" t="n">
        <v>129863.0283163479</v>
      </c>
      <c r="AA35" s="22" t="n">
        <v>8450.065985410818</v>
      </c>
      <c r="AB35" s="22" t="n">
        <v>177825.5583237942</v>
      </c>
      <c r="AC35" s="22" t="n">
        <v>150307.513503371</v>
      </c>
      <c r="AD35" s="22" t="n">
        <v>134840.0361374693</v>
      </c>
      <c r="AE35" s="22" t="n">
        <v>31902.3663784217</v>
      </c>
      <c r="AF35" s="22" t="n">
        <v>21284.58169851325</v>
      </c>
      <c r="AG35" s="22" t="n">
        <v>6770836.547530988</v>
      </c>
      <c r="AH35" s="22" t="n">
        <v>129279.9505381372</v>
      </c>
      <c r="AI35" s="22" t="n">
        <v>7850.952251824494</v>
      </c>
      <c r="AJ35" s="22" t="n">
        <v>167156.0248243666</v>
      </c>
      <c r="AK35" s="22" t="n">
        <v>175541.8909485814</v>
      </c>
      <c r="AL35" s="22" t="n">
        <v>177825.5583237942</v>
      </c>
      <c r="AM35" s="22" t="n">
        <v>1.867355731780526e-13</v>
      </c>
      <c r="AN35" s="22" t="n">
        <v>1.300755345576595e-13</v>
      </c>
      <c r="AO35" s="22" t="n">
        <v>12528933.17409571</v>
      </c>
      <c r="AP35" s="22" t="n">
        <v>262800</v>
      </c>
      <c r="AQ35" s="22" t="n">
        <v>0</v>
      </c>
      <c r="AR35" s="22" t="n">
        <v>177825.5583237942</v>
      </c>
      <c r="AS35" s="22" t="n">
        <v>165009.3774916665</v>
      </c>
      <c r="AT35" s="22" t="n">
        <v>167156.0248243666</v>
      </c>
      <c r="AU35" s="22" t="n">
        <v>1.081404056806751e-13</v>
      </c>
      <c r="AV35" s="22" t="n">
        <v>7.729120410201166e-14</v>
      </c>
      <c r="AW35" s="22" t="n">
        <v>12528933.17409571</v>
      </c>
      <c r="AX35" s="22" t="n">
        <v>262800</v>
      </c>
      <c r="AY35" s="22" t="n">
        <v>0</v>
      </c>
      <c r="AZ35" s="22" t="n">
        <v>167156.0248243666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40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9" t="inlineStr">
        <is>
          <t>Zaman çizelgesi ve YEKDEM yıllık katılım kararı</t>
        </is>
      </c>
    </row>
    <row r="2"/>
    <row r="3"/>
    <row r="4">
      <c r="A4" s="8" t="inlineStr">
        <is>
          <t>Kalem</t>
        </is>
      </c>
      <c r="B4" s="8" t="inlineStr">
        <is>
          <t>Birim</t>
        </is>
      </c>
      <c r="C4" s="8" t="inlineStr">
        <is>
          <t>Not / kaynak</t>
        </is>
      </c>
      <c r="D4" s="8" t="inlineStr">
        <is>
          <t>Toplam / değer</t>
        </is>
      </c>
      <c r="E4" s="8" t="inlineStr">
        <is>
          <t>t0 (bugün)</t>
        </is>
      </c>
      <c r="F4" s="8" t="n">
        <v>2026</v>
      </c>
      <c r="G4" s="8" t="n">
        <v>2027</v>
      </c>
      <c r="H4" s="8" t="n">
        <v>2028</v>
      </c>
      <c r="I4" s="8" t="n">
        <v>2029</v>
      </c>
      <c r="J4" s="8" t="n">
        <v>2030</v>
      </c>
      <c r="K4" s="8" t="n">
        <v>2031</v>
      </c>
      <c r="L4" s="8" t="n">
        <v>2032</v>
      </c>
      <c r="M4" s="8" t="n">
        <v>2033</v>
      </c>
      <c r="N4" s="8" t="n">
        <v>2034</v>
      </c>
      <c r="O4" s="8" t="n">
        <v>2035</v>
      </c>
      <c r="P4" s="8" t="n">
        <v>2036</v>
      </c>
      <c r="Q4" s="8" t="n">
        <v>2037</v>
      </c>
      <c r="R4" s="8" t="n">
        <v>2038</v>
      </c>
      <c r="S4" s="8" t="n">
        <v>2039</v>
      </c>
      <c r="T4" s="8" t="n">
        <v>2040</v>
      </c>
      <c r="U4" s="8" t="n">
        <v>2041</v>
      </c>
      <c r="V4" s="8" t="n">
        <v>2042</v>
      </c>
      <c r="W4" s="8" t="n">
        <v>2043</v>
      </c>
      <c r="X4" s="8" t="n">
        <v>2044</v>
      </c>
      <c r="Y4" s="8" t="n">
        <v>2045</v>
      </c>
      <c r="Z4" s="8" t="n">
        <v>2046</v>
      </c>
      <c r="AA4" s="8" t="n">
        <v>2047</v>
      </c>
      <c r="AB4" s="8" t="n">
        <v>2048</v>
      </c>
      <c r="AC4" s="8" t="n">
        <v>2049</v>
      </c>
      <c r="AD4" s="8" t="n">
        <v>2050</v>
      </c>
      <c r="AE4" s="8" t="n">
        <v>2051</v>
      </c>
      <c r="AF4" s="8" t="n">
        <v>2052</v>
      </c>
      <c r="AG4" s="8" t="n">
        <v>2053</v>
      </c>
      <c r="AH4" s="8" t="n">
        <v>2054</v>
      </c>
      <c r="AI4" s="8" t="n">
        <v>2055</v>
      </c>
      <c r="AJ4" s="8" t="n">
        <v>2056</v>
      </c>
      <c r="AK4" s="8" t="n">
        <v>2057</v>
      </c>
      <c r="AL4" s="8" t="n">
        <v>2058</v>
      </c>
      <c r="AM4" s="8" t="n">
        <v>2059</v>
      </c>
      <c r="AN4" s="8" t="n">
        <v>2060</v>
      </c>
      <c r="AO4" s="8" t="n">
        <v>2061</v>
      </c>
      <c r="AP4" s="8" t="n">
        <v>2062</v>
      </c>
      <c r="AQ4" s="8" t="n">
        <v>2063</v>
      </c>
      <c r="AR4" s="8" t="n">
        <v>2064</v>
      </c>
    </row>
    <row r="5"/>
    <row r="6">
      <c r="A6" t="inlineStr">
        <is>
          <t>Takvim yılı</t>
        </is>
      </c>
      <c r="B6" t="inlineStr">
        <is>
          <t>yıl</t>
        </is>
      </c>
      <c r="C6" t="inlineStr"/>
      <c r="E6" s="23" t="n">
        <v>2025</v>
      </c>
      <c r="F6" s="23" t="n">
        <v>2026</v>
      </c>
      <c r="G6" s="23" t="n">
        <v>2027</v>
      </c>
      <c r="H6" s="23" t="n">
        <v>2028</v>
      </c>
      <c r="I6" s="23" t="n">
        <v>2029</v>
      </c>
      <c r="J6" s="23" t="n">
        <v>2030</v>
      </c>
      <c r="K6" s="23" t="n">
        <v>2031</v>
      </c>
      <c r="L6" s="23" t="n">
        <v>2032</v>
      </c>
      <c r="M6" s="23" t="n">
        <v>2033</v>
      </c>
      <c r="N6" s="23" t="n">
        <v>2034</v>
      </c>
      <c r="O6" s="23" t="n">
        <v>2035</v>
      </c>
      <c r="P6" s="23" t="n">
        <v>2036</v>
      </c>
      <c r="Q6" s="23" t="n">
        <v>2037</v>
      </c>
      <c r="R6" s="23" t="n">
        <v>2038</v>
      </c>
      <c r="S6" s="23" t="n">
        <v>2039</v>
      </c>
      <c r="T6" s="23" t="n">
        <v>2040</v>
      </c>
      <c r="U6" s="23" t="n">
        <v>2041</v>
      </c>
      <c r="V6" s="23" t="n">
        <v>2042</v>
      </c>
      <c r="W6" s="23" t="n">
        <v>2043</v>
      </c>
      <c r="X6" s="23" t="n">
        <v>2044</v>
      </c>
      <c r="Y6" s="23" t="n">
        <v>2045</v>
      </c>
      <c r="Z6" s="23" t="n">
        <v>2046</v>
      </c>
      <c r="AA6" s="23" t="n">
        <v>2047</v>
      </c>
      <c r="AB6" s="23" t="n">
        <v>2048</v>
      </c>
      <c r="AC6" s="23" t="n">
        <v>2049</v>
      </c>
      <c r="AD6" s="23" t="n">
        <v>2050</v>
      </c>
      <c r="AE6" s="23" t="n">
        <v>2051</v>
      </c>
      <c r="AF6" s="23" t="n">
        <v>2052</v>
      </c>
      <c r="AG6" s="23" t="n">
        <v>2053</v>
      </c>
      <c r="AH6" s="23" t="n">
        <v>2054</v>
      </c>
      <c r="AI6" s="23" t="n">
        <v>2055</v>
      </c>
      <c r="AJ6" s="23" t="n">
        <v>2056</v>
      </c>
      <c r="AK6" s="23" t="n">
        <v>2057</v>
      </c>
      <c r="AL6" s="23" t="n">
        <v>2058</v>
      </c>
      <c r="AM6" s="23" t="n">
        <v>2059</v>
      </c>
      <c r="AN6" s="23" t="n">
        <v>2060</v>
      </c>
      <c r="AO6" s="23" t="n">
        <v>2061</v>
      </c>
      <c r="AP6" s="23" t="n">
        <v>2062</v>
      </c>
      <c r="AQ6" s="23" t="n">
        <v>2063</v>
      </c>
      <c r="AR6" s="23" t="n">
        <v>2064</v>
      </c>
    </row>
    <row r="7">
      <c r="A7" t="inlineStr">
        <is>
          <t>İskonto dönemi t</t>
        </is>
      </c>
      <c r="B7" t="inlineStr"/>
      <c r="C7" t="inlineStr"/>
      <c r="E7" s="23" t="n">
        <v>0</v>
      </c>
      <c r="F7" s="23" t="n">
        <v>1</v>
      </c>
      <c r="G7" s="23" t="n">
        <v>2</v>
      </c>
      <c r="H7" s="23" t="n">
        <v>3</v>
      </c>
      <c r="I7" s="23" t="n">
        <v>4</v>
      </c>
      <c r="J7" s="23" t="n">
        <v>5</v>
      </c>
      <c r="K7" s="23" t="n">
        <v>6</v>
      </c>
      <c r="L7" s="23" t="n">
        <v>7</v>
      </c>
      <c r="M7" s="23" t="n">
        <v>8</v>
      </c>
      <c r="N7" s="23" t="n">
        <v>9</v>
      </c>
      <c r="O7" s="23" t="n">
        <v>10</v>
      </c>
      <c r="P7" s="23" t="n">
        <v>11</v>
      </c>
      <c r="Q7" s="23" t="n">
        <v>12</v>
      </c>
      <c r="R7" s="23" t="n">
        <v>13</v>
      </c>
      <c r="S7" s="23" t="n">
        <v>14</v>
      </c>
      <c r="T7" s="23" t="n">
        <v>15</v>
      </c>
      <c r="U7" s="23" t="n">
        <v>16</v>
      </c>
      <c r="V7" s="23" t="n">
        <v>17</v>
      </c>
      <c r="W7" s="23" t="n">
        <v>18</v>
      </c>
      <c r="X7" s="23" t="n">
        <v>19</v>
      </c>
      <c r="Y7" s="23" t="n">
        <v>20</v>
      </c>
      <c r="Z7" s="23" t="n">
        <v>21</v>
      </c>
      <c r="AA7" s="23" t="n">
        <v>22</v>
      </c>
      <c r="AB7" s="23" t="n">
        <v>23</v>
      </c>
      <c r="AC7" s="23" t="n">
        <v>24</v>
      </c>
      <c r="AD7" s="23" t="n">
        <v>25</v>
      </c>
      <c r="AE7" s="23" t="n">
        <v>26</v>
      </c>
      <c r="AF7" s="23" t="n">
        <v>27</v>
      </c>
      <c r="AG7" s="23" t="n">
        <v>28</v>
      </c>
      <c r="AH7" s="23" t="n">
        <v>29</v>
      </c>
      <c r="AI7" s="23" t="n">
        <v>30</v>
      </c>
      <c r="AJ7" s="23" t="n">
        <v>31</v>
      </c>
      <c r="AK7" s="23" t="n">
        <v>32</v>
      </c>
      <c r="AL7" s="23" t="n">
        <v>33</v>
      </c>
      <c r="AM7" s="23" t="n">
        <v>34</v>
      </c>
      <c r="AN7" s="23" t="n">
        <v>35</v>
      </c>
      <c r="AO7" s="23" t="n">
        <v>36</v>
      </c>
      <c r="AP7" s="23" t="n">
        <v>37</v>
      </c>
      <c r="AQ7" s="23" t="n">
        <v>38</v>
      </c>
      <c r="AR7" s="23" t="n">
        <v>39</v>
      </c>
    </row>
    <row r="8">
      <c r="A8" t="inlineStr">
        <is>
          <t>İnşaat CAPEX payı</t>
        </is>
      </c>
      <c r="B8" t="inlineStr">
        <is>
          <t>pay</t>
        </is>
      </c>
      <c r="C8" t="inlineStr"/>
      <c r="D8" s="24">
        <f>SUM(F8:AR8)</f>
        <v/>
      </c>
      <c r="E8" s="24" t="n">
        <v>0</v>
      </c>
      <c r="F8" s="24">
        <f>IF('Zaman'!F6=Girdiler!$C$12-2,Girdiler!$C$34,IF('Zaman'!F6=Girdiler!$C$12-1,Girdiler!$C$35,0))</f>
        <v/>
      </c>
      <c r="G8" s="24">
        <f>IF('Zaman'!G6=Girdiler!$C$12-2,Girdiler!$C$34,IF('Zaman'!G6=Girdiler!$C$12-1,Girdiler!$C$35,0))</f>
        <v/>
      </c>
      <c r="H8" s="24">
        <f>IF('Zaman'!H6=Girdiler!$C$12-2,Girdiler!$C$34,IF('Zaman'!H6=Girdiler!$C$12-1,Girdiler!$C$35,0))</f>
        <v/>
      </c>
      <c r="I8" s="24">
        <f>IF('Zaman'!I6=Girdiler!$C$12-2,Girdiler!$C$34,IF('Zaman'!I6=Girdiler!$C$12-1,Girdiler!$C$35,0))</f>
        <v/>
      </c>
      <c r="J8" s="24">
        <f>IF('Zaman'!J6=Girdiler!$C$12-2,Girdiler!$C$34,IF('Zaman'!J6=Girdiler!$C$12-1,Girdiler!$C$35,0))</f>
        <v/>
      </c>
      <c r="K8" s="24">
        <f>IF('Zaman'!K6=Girdiler!$C$12-2,Girdiler!$C$34,IF('Zaman'!K6=Girdiler!$C$12-1,Girdiler!$C$35,0))</f>
        <v/>
      </c>
      <c r="L8" s="24">
        <f>IF('Zaman'!L6=Girdiler!$C$12-2,Girdiler!$C$34,IF('Zaman'!L6=Girdiler!$C$12-1,Girdiler!$C$35,0))</f>
        <v/>
      </c>
      <c r="M8" s="24">
        <f>IF('Zaman'!M6=Girdiler!$C$12-2,Girdiler!$C$34,IF('Zaman'!M6=Girdiler!$C$12-1,Girdiler!$C$35,0))</f>
        <v/>
      </c>
      <c r="N8" s="24">
        <f>IF('Zaman'!N6=Girdiler!$C$12-2,Girdiler!$C$34,IF('Zaman'!N6=Girdiler!$C$12-1,Girdiler!$C$35,0))</f>
        <v/>
      </c>
      <c r="O8" s="24">
        <f>IF('Zaman'!O6=Girdiler!$C$12-2,Girdiler!$C$34,IF('Zaman'!O6=Girdiler!$C$12-1,Girdiler!$C$35,0))</f>
        <v/>
      </c>
      <c r="P8" s="24">
        <f>IF('Zaman'!P6=Girdiler!$C$12-2,Girdiler!$C$34,IF('Zaman'!P6=Girdiler!$C$12-1,Girdiler!$C$35,0))</f>
        <v/>
      </c>
      <c r="Q8" s="24">
        <f>IF('Zaman'!Q6=Girdiler!$C$12-2,Girdiler!$C$34,IF('Zaman'!Q6=Girdiler!$C$12-1,Girdiler!$C$35,0))</f>
        <v/>
      </c>
      <c r="R8" s="24">
        <f>IF('Zaman'!R6=Girdiler!$C$12-2,Girdiler!$C$34,IF('Zaman'!R6=Girdiler!$C$12-1,Girdiler!$C$35,0))</f>
        <v/>
      </c>
      <c r="S8" s="24">
        <f>IF('Zaman'!S6=Girdiler!$C$12-2,Girdiler!$C$34,IF('Zaman'!S6=Girdiler!$C$12-1,Girdiler!$C$35,0))</f>
        <v/>
      </c>
      <c r="T8" s="24">
        <f>IF('Zaman'!T6=Girdiler!$C$12-2,Girdiler!$C$34,IF('Zaman'!T6=Girdiler!$C$12-1,Girdiler!$C$35,0))</f>
        <v/>
      </c>
      <c r="U8" s="24">
        <f>IF('Zaman'!U6=Girdiler!$C$12-2,Girdiler!$C$34,IF('Zaman'!U6=Girdiler!$C$12-1,Girdiler!$C$35,0))</f>
        <v/>
      </c>
      <c r="V8" s="24">
        <f>IF('Zaman'!V6=Girdiler!$C$12-2,Girdiler!$C$34,IF('Zaman'!V6=Girdiler!$C$12-1,Girdiler!$C$35,0))</f>
        <v/>
      </c>
      <c r="W8" s="24">
        <f>IF('Zaman'!W6=Girdiler!$C$12-2,Girdiler!$C$34,IF('Zaman'!W6=Girdiler!$C$12-1,Girdiler!$C$35,0))</f>
        <v/>
      </c>
      <c r="X8" s="24">
        <f>IF('Zaman'!X6=Girdiler!$C$12-2,Girdiler!$C$34,IF('Zaman'!X6=Girdiler!$C$12-1,Girdiler!$C$35,0))</f>
        <v/>
      </c>
      <c r="Y8" s="24">
        <f>IF('Zaman'!Y6=Girdiler!$C$12-2,Girdiler!$C$34,IF('Zaman'!Y6=Girdiler!$C$12-1,Girdiler!$C$35,0))</f>
        <v/>
      </c>
      <c r="Z8" s="24">
        <f>IF('Zaman'!Z6=Girdiler!$C$12-2,Girdiler!$C$34,IF('Zaman'!Z6=Girdiler!$C$12-1,Girdiler!$C$35,0))</f>
        <v/>
      </c>
      <c r="AA8" s="24">
        <f>IF('Zaman'!AA6=Girdiler!$C$12-2,Girdiler!$C$34,IF('Zaman'!AA6=Girdiler!$C$12-1,Girdiler!$C$35,0))</f>
        <v/>
      </c>
      <c r="AB8" s="24">
        <f>IF('Zaman'!AB6=Girdiler!$C$12-2,Girdiler!$C$34,IF('Zaman'!AB6=Girdiler!$C$12-1,Girdiler!$C$35,0))</f>
        <v/>
      </c>
      <c r="AC8" s="24">
        <f>IF('Zaman'!AC6=Girdiler!$C$12-2,Girdiler!$C$34,IF('Zaman'!AC6=Girdiler!$C$12-1,Girdiler!$C$35,0))</f>
        <v/>
      </c>
      <c r="AD8" s="24">
        <f>IF('Zaman'!AD6=Girdiler!$C$12-2,Girdiler!$C$34,IF('Zaman'!AD6=Girdiler!$C$12-1,Girdiler!$C$35,0))</f>
        <v/>
      </c>
      <c r="AE8" s="24">
        <f>IF('Zaman'!AE6=Girdiler!$C$12-2,Girdiler!$C$34,IF('Zaman'!AE6=Girdiler!$C$12-1,Girdiler!$C$35,0))</f>
        <v/>
      </c>
      <c r="AF8" s="24">
        <f>IF('Zaman'!AF6=Girdiler!$C$12-2,Girdiler!$C$34,IF('Zaman'!AF6=Girdiler!$C$12-1,Girdiler!$C$35,0))</f>
        <v/>
      </c>
      <c r="AG8" s="24">
        <f>IF('Zaman'!AG6=Girdiler!$C$12-2,Girdiler!$C$34,IF('Zaman'!AG6=Girdiler!$C$12-1,Girdiler!$C$35,0))</f>
        <v/>
      </c>
      <c r="AH8" s="24">
        <f>IF('Zaman'!AH6=Girdiler!$C$12-2,Girdiler!$C$34,IF('Zaman'!AH6=Girdiler!$C$12-1,Girdiler!$C$35,0))</f>
        <v/>
      </c>
      <c r="AI8" s="24">
        <f>IF('Zaman'!AI6=Girdiler!$C$12-2,Girdiler!$C$34,IF('Zaman'!AI6=Girdiler!$C$12-1,Girdiler!$C$35,0))</f>
        <v/>
      </c>
      <c r="AJ8" s="24">
        <f>IF('Zaman'!AJ6=Girdiler!$C$12-2,Girdiler!$C$34,IF('Zaman'!AJ6=Girdiler!$C$12-1,Girdiler!$C$35,0))</f>
        <v/>
      </c>
      <c r="AK8" s="24">
        <f>IF('Zaman'!AK6=Girdiler!$C$12-2,Girdiler!$C$34,IF('Zaman'!AK6=Girdiler!$C$12-1,Girdiler!$C$35,0))</f>
        <v/>
      </c>
      <c r="AL8" s="24">
        <f>IF('Zaman'!AL6=Girdiler!$C$12-2,Girdiler!$C$34,IF('Zaman'!AL6=Girdiler!$C$12-1,Girdiler!$C$35,0))</f>
        <v/>
      </c>
      <c r="AM8" s="24">
        <f>IF('Zaman'!AM6=Girdiler!$C$12-2,Girdiler!$C$34,IF('Zaman'!AM6=Girdiler!$C$12-1,Girdiler!$C$35,0))</f>
        <v/>
      </c>
      <c r="AN8" s="24">
        <f>IF('Zaman'!AN6=Girdiler!$C$12-2,Girdiler!$C$34,IF('Zaman'!AN6=Girdiler!$C$12-1,Girdiler!$C$35,0))</f>
        <v/>
      </c>
      <c r="AO8" s="24">
        <f>IF('Zaman'!AO6=Girdiler!$C$12-2,Girdiler!$C$34,IF('Zaman'!AO6=Girdiler!$C$12-1,Girdiler!$C$35,0))</f>
        <v/>
      </c>
      <c r="AP8" s="24">
        <f>IF('Zaman'!AP6=Girdiler!$C$12-2,Girdiler!$C$34,IF('Zaman'!AP6=Girdiler!$C$12-1,Girdiler!$C$35,0))</f>
        <v/>
      </c>
      <c r="AQ8" s="24">
        <f>IF('Zaman'!AQ6=Girdiler!$C$12-2,Girdiler!$C$34,IF('Zaman'!AQ6=Girdiler!$C$12-1,Girdiler!$C$35,0))</f>
        <v/>
      </c>
      <c r="AR8" s="24">
        <f>IF('Zaman'!AR6=Girdiler!$C$12-2,Girdiler!$C$34,IF('Zaman'!AR6=Girdiler!$C$12-1,Girdiler!$C$35,0))</f>
        <v/>
      </c>
    </row>
    <row r="9">
      <c r="A9" t="inlineStr">
        <is>
          <t>İşletme yılı k</t>
        </is>
      </c>
      <c r="B9" t="inlineStr"/>
      <c r="C9" t="inlineStr"/>
      <c r="E9" s="23" t="n">
        <v>0</v>
      </c>
      <c r="F9" s="23">
        <f>IF(AND('Zaman'!F6&gt;=Girdiler!$C$12,'Zaman'!F6&lt;Girdiler!$C$12+Girdiler!$C$36),'Zaman'!F6-Girdiler!$C$12+1,0)</f>
        <v/>
      </c>
      <c r="G9" s="23">
        <f>IF(AND('Zaman'!G6&gt;=Girdiler!$C$12,'Zaman'!G6&lt;Girdiler!$C$12+Girdiler!$C$36),'Zaman'!G6-Girdiler!$C$12+1,0)</f>
        <v/>
      </c>
      <c r="H9" s="23">
        <f>IF(AND('Zaman'!H6&gt;=Girdiler!$C$12,'Zaman'!H6&lt;Girdiler!$C$12+Girdiler!$C$36),'Zaman'!H6-Girdiler!$C$12+1,0)</f>
        <v/>
      </c>
      <c r="I9" s="23">
        <f>IF(AND('Zaman'!I6&gt;=Girdiler!$C$12,'Zaman'!I6&lt;Girdiler!$C$12+Girdiler!$C$36),'Zaman'!I6-Girdiler!$C$12+1,0)</f>
        <v/>
      </c>
      <c r="J9" s="23">
        <f>IF(AND('Zaman'!J6&gt;=Girdiler!$C$12,'Zaman'!J6&lt;Girdiler!$C$12+Girdiler!$C$36),'Zaman'!J6-Girdiler!$C$12+1,0)</f>
        <v/>
      </c>
      <c r="K9" s="23">
        <f>IF(AND('Zaman'!K6&gt;=Girdiler!$C$12,'Zaman'!K6&lt;Girdiler!$C$12+Girdiler!$C$36),'Zaman'!K6-Girdiler!$C$12+1,0)</f>
        <v/>
      </c>
      <c r="L9" s="23">
        <f>IF(AND('Zaman'!L6&gt;=Girdiler!$C$12,'Zaman'!L6&lt;Girdiler!$C$12+Girdiler!$C$36),'Zaman'!L6-Girdiler!$C$12+1,0)</f>
        <v/>
      </c>
      <c r="M9" s="23">
        <f>IF(AND('Zaman'!M6&gt;=Girdiler!$C$12,'Zaman'!M6&lt;Girdiler!$C$12+Girdiler!$C$36),'Zaman'!M6-Girdiler!$C$12+1,0)</f>
        <v/>
      </c>
      <c r="N9" s="23">
        <f>IF(AND('Zaman'!N6&gt;=Girdiler!$C$12,'Zaman'!N6&lt;Girdiler!$C$12+Girdiler!$C$36),'Zaman'!N6-Girdiler!$C$12+1,0)</f>
        <v/>
      </c>
      <c r="O9" s="23">
        <f>IF(AND('Zaman'!O6&gt;=Girdiler!$C$12,'Zaman'!O6&lt;Girdiler!$C$12+Girdiler!$C$36),'Zaman'!O6-Girdiler!$C$12+1,0)</f>
        <v/>
      </c>
      <c r="P9" s="23">
        <f>IF(AND('Zaman'!P6&gt;=Girdiler!$C$12,'Zaman'!P6&lt;Girdiler!$C$12+Girdiler!$C$36),'Zaman'!P6-Girdiler!$C$12+1,0)</f>
        <v/>
      </c>
      <c r="Q9" s="23">
        <f>IF(AND('Zaman'!Q6&gt;=Girdiler!$C$12,'Zaman'!Q6&lt;Girdiler!$C$12+Girdiler!$C$36),'Zaman'!Q6-Girdiler!$C$12+1,0)</f>
        <v/>
      </c>
      <c r="R9" s="23">
        <f>IF(AND('Zaman'!R6&gt;=Girdiler!$C$12,'Zaman'!R6&lt;Girdiler!$C$12+Girdiler!$C$36),'Zaman'!R6-Girdiler!$C$12+1,0)</f>
        <v/>
      </c>
      <c r="S9" s="23">
        <f>IF(AND('Zaman'!S6&gt;=Girdiler!$C$12,'Zaman'!S6&lt;Girdiler!$C$12+Girdiler!$C$36),'Zaman'!S6-Girdiler!$C$12+1,0)</f>
        <v/>
      </c>
      <c r="T9" s="23">
        <f>IF(AND('Zaman'!T6&gt;=Girdiler!$C$12,'Zaman'!T6&lt;Girdiler!$C$12+Girdiler!$C$36),'Zaman'!T6-Girdiler!$C$12+1,0)</f>
        <v/>
      </c>
      <c r="U9" s="23">
        <f>IF(AND('Zaman'!U6&gt;=Girdiler!$C$12,'Zaman'!U6&lt;Girdiler!$C$12+Girdiler!$C$36),'Zaman'!U6-Girdiler!$C$12+1,0)</f>
        <v/>
      </c>
      <c r="V9" s="23">
        <f>IF(AND('Zaman'!V6&gt;=Girdiler!$C$12,'Zaman'!V6&lt;Girdiler!$C$12+Girdiler!$C$36),'Zaman'!V6-Girdiler!$C$12+1,0)</f>
        <v/>
      </c>
      <c r="W9" s="23">
        <f>IF(AND('Zaman'!W6&gt;=Girdiler!$C$12,'Zaman'!W6&lt;Girdiler!$C$12+Girdiler!$C$36),'Zaman'!W6-Girdiler!$C$12+1,0)</f>
        <v/>
      </c>
      <c r="X9" s="23">
        <f>IF(AND('Zaman'!X6&gt;=Girdiler!$C$12,'Zaman'!X6&lt;Girdiler!$C$12+Girdiler!$C$36),'Zaman'!X6-Girdiler!$C$12+1,0)</f>
        <v/>
      </c>
      <c r="Y9" s="23">
        <f>IF(AND('Zaman'!Y6&gt;=Girdiler!$C$12,'Zaman'!Y6&lt;Girdiler!$C$12+Girdiler!$C$36),'Zaman'!Y6-Girdiler!$C$12+1,0)</f>
        <v/>
      </c>
      <c r="Z9" s="23">
        <f>IF(AND('Zaman'!Z6&gt;=Girdiler!$C$12,'Zaman'!Z6&lt;Girdiler!$C$12+Girdiler!$C$36),'Zaman'!Z6-Girdiler!$C$12+1,0)</f>
        <v/>
      </c>
      <c r="AA9" s="23">
        <f>IF(AND('Zaman'!AA6&gt;=Girdiler!$C$12,'Zaman'!AA6&lt;Girdiler!$C$12+Girdiler!$C$36),'Zaman'!AA6-Girdiler!$C$12+1,0)</f>
        <v/>
      </c>
      <c r="AB9" s="23">
        <f>IF(AND('Zaman'!AB6&gt;=Girdiler!$C$12,'Zaman'!AB6&lt;Girdiler!$C$12+Girdiler!$C$36),'Zaman'!AB6-Girdiler!$C$12+1,0)</f>
        <v/>
      </c>
      <c r="AC9" s="23">
        <f>IF(AND('Zaman'!AC6&gt;=Girdiler!$C$12,'Zaman'!AC6&lt;Girdiler!$C$12+Girdiler!$C$36),'Zaman'!AC6-Girdiler!$C$12+1,0)</f>
        <v/>
      </c>
      <c r="AD9" s="23">
        <f>IF(AND('Zaman'!AD6&gt;=Girdiler!$C$12,'Zaman'!AD6&lt;Girdiler!$C$12+Girdiler!$C$36),'Zaman'!AD6-Girdiler!$C$12+1,0)</f>
        <v/>
      </c>
      <c r="AE9" s="23">
        <f>IF(AND('Zaman'!AE6&gt;=Girdiler!$C$12,'Zaman'!AE6&lt;Girdiler!$C$12+Girdiler!$C$36),'Zaman'!AE6-Girdiler!$C$12+1,0)</f>
        <v/>
      </c>
      <c r="AF9" s="23">
        <f>IF(AND('Zaman'!AF6&gt;=Girdiler!$C$12,'Zaman'!AF6&lt;Girdiler!$C$12+Girdiler!$C$36),'Zaman'!AF6-Girdiler!$C$12+1,0)</f>
        <v/>
      </c>
      <c r="AG9" s="23">
        <f>IF(AND('Zaman'!AG6&gt;=Girdiler!$C$12,'Zaman'!AG6&lt;Girdiler!$C$12+Girdiler!$C$36),'Zaman'!AG6-Girdiler!$C$12+1,0)</f>
        <v/>
      </c>
      <c r="AH9" s="23">
        <f>IF(AND('Zaman'!AH6&gt;=Girdiler!$C$12,'Zaman'!AH6&lt;Girdiler!$C$12+Girdiler!$C$36),'Zaman'!AH6-Girdiler!$C$12+1,0)</f>
        <v/>
      </c>
      <c r="AI9" s="23">
        <f>IF(AND('Zaman'!AI6&gt;=Girdiler!$C$12,'Zaman'!AI6&lt;Girdiler!$C$12+Girdiler!$C$36),'Zaman'!AI6-Girdiler!$C$12+1,0)</f>
        <v/>
      </c>
      <c r="AJ9" s="23">
        <f>IF(AND('Zaman'!AJ6&gt;=Girdiler!$C$12,'Zaman'!AJ6&lt;Girdiler!$C$12+Girdiler!$C$36),'Zaman'!AJ6-Girdiler!$C$12+1,0)</f>
        <v/>
      </c>
      <c r="AK9" s="23">
        <f>IF(AND('Zaman'!AK6&gt;=Girdiler!$C$12,'Zaman'!AK6&lt;Girdiler!$C$12+Girdiler!$C$36),'Zaman'!AK6-Girdiler!$C$12+1,0)</f>
        <v/>
      </c>
      <c r="AL9" s="23">
        <f>IF(AND('Zaman'!AL6&gt;=Girdiler!$C$12,'Zaman'!AL6&lt;Girdiler!$C$12+Girdiler!$C$36),'Zaman'!AL6-Girdiler!$C$12+1,0)</f>
        <v/>
      </c>
      <c r="AM9" s="23">
        <f>IF(AND('Zaman'!AM6&gt;=Girdiler!$C$12,'Zaman'!AM6&lt;Girdiler!$C$12+Girdiler!$C$36),'Zaman'!AM6-Girdiler!$C$12+1,0)</f>
        <v/>
      </c>
      <c r="AN9" s="23">
        <f>IF(AND('Zaman'!AN6&gt;=Girdiler!$C$12,'Zaman'!AN6&lt;Girdiler!$C$12+Girdiler!$C$36),'Zaman'!AN6-Girdiler!$C$12+1,0)</f>
        <v/>
      </c>
      <c r="AO9" s="23">
        <f>IF(AND('Zaman'!AO6&gt;=Girdiler!$C$12,'Zaman'!AO6&lt;Girdiler!$C$12+Girdiler!$C$36),'Zaman'!AO6-Girdiler!$C$12+1,0)</f>
        <v/>
      </c>
      <c r="AP9" s="23">
        <f>IF(AND('Zaman'!AP6&gt;=Girdiler!$C$12,'Zaman'!AP6&lt;Girdiler!$C$12+Girdiler!$C$36),'Zaman'!AP6-Girdiler!$C$12+1,0)</f>
        <v/>
      </c>
      <c r="AQ9" s="23">
        <f>IF(AND('Zaman'!AQ6&gt;=Girdiler!$C$12,'Zaman'!AQ6&lt;Girdiler!$C$12+Girdiler!$C$36),'Zaman'!AQ6-Girdiler!$C$12+1,0)</f>
        <v/>
      </c>
      <c r="AR9" s="23">
        <f>IF(AND('Zaman'!AR6&gt;=Girdiler!$C$12,'Zaman'!AR6&lt;Girdiler!$C$12+Girdiler!$C$36),'Zaman'!AR6-Girdiler!$C$12+1,0)</f>
        <v/>
      </c>
    </row>
    <row r="10">
      <c r="A10" t="inlineStr">
        <is>
          <t>İskonto faktörü (1 + WACC)^−t</t>
        </is>
      </c>
      <c r="B10" t="inlineStr"/>
      <c r="C10" t="inlineStr"/>
      <c r="E10" s="21" t="n">
        <v>1</v>
      </c>
      <c r="F10" s="21">
        <f>1/(1+Girdiler!$C$72)^'Zaman'!F7</f>
        <v/>
      </c>
      <c r="G10" s="21">
        <f>1/(1+Girdiler!$C$72)^'Zaman'!G7</f>
        <v/>
      </c>
      <c r="H10" s="21">
        <f>1/(1+Girdiler!$C$72)^'Zaman'!H7</f>
        <v/>
      </c>
      <c r="I10" s="21">
        <f>1/(1+Girdiler!$C$72)^'Zaman'!I7</f>
        <v/>
      </c>
      <c r="J10" s="21">
        <f>1/(1+Girdiler!$C$72)^'Zaman'!J7</f>
        <v/>
      </c>
      <c r="K10" s="21">
        <f>1/(1+Girdiler!$C$72)^'Zaman'!K7</f>
        <v/>
      </c>
      <c r="L10" s="21">
        <f>1/(1+Girdiler!$C$72)^'Zaman'!L7</f>
        <v/>
      </c>
      <c r="M10" s="21">
        <f>1/(1+Girdiler!$C$72)^'Zaman'!M7</f>
        <v/>
      </c>
      <c r="N10" s="21">
        <f>1/(1+Girdiler!$C$72)^'Zaman'!N7</f>
        <v/>
      </c>
      <c r="O10" s="21">
        <f>1/(1+Girdiler!$C$72)^'Zaman'!O7</f>
        <v/>
      </c>
      <c r="P10" s="21">
        <f>1/(1+Girdiler!$C$72)^'Zaman'!P7</f>
        <v/>
      </c>
      <c r="Q10" s="21">
        <f>1/(1+Girdiler!$C$72)^'Zaman'!Q7</f>
        <v/>
      </c>
      <c r="R10" s="21">
        <f>1/(1+Girdiler!$C$72)^'Zaman'!R7</f>
        <v/>
      </c>
      <c r="S10" s="21">
        <f>1/(1+Girdiler!$C$72)^'Zaman'!S7</f>
        <v/>
      </c>
      <c r="T10" s="21">
        <f>1/(1+Girdiler!$C$72)^'Zaman'!T7</f>
        <v/>
      </c>
      <c r="U10" s="21">
        <f>1/(1+Girdiler!$C$72)^'Zaman'!U7</f>
        <v/>
      </c>
      <c r="V10" s="21">
        <f>1/(1+Girdiler!$C$72)^'Zaman'!V7</f>
        <v/>
      </c>
      <c r="W10" s="21">
        <f>1/(1+Girdiler!$C$72)^'Zaman'!W7</f>
        <v/>
      </c>
      <c r="X10" s="21">
        <f>1/(1+Girdiler!$C$72)^'Zaman'!X7</f>
        <v/>
      </c>
      <c r="Y10" s="21">
        <f>1/(1+Girdiler!$C$72)^'Zaman'!Y7</f>
        <v/>
      </c>
      <c r="Z10" s="21">
        <f>1/(1+Girdiler!$C$72)^'Zaman'!Z7</f>
        <v/>
      </c>
      <c r="AA10" s="21">
        <f>1/(1+Girdiler!$C$72)^'Zaman'!AA7</f>
        <v/>
      </c>
      <c r="AB10" s="21">
        <f>1/(1+Girdiler!$C$72)^'Zaman'!AB7</f>
        <v/>
      </c>
      <c r="AC10" s="21">
        <f>1/(1+Girdiler!$C$72)^'Zaman'!AC7</f>
        <v/>
      </c>
      <c r="AD10" s="21">
        <f>1/(1+Girdiler!$C$72)^'Zaman'!AD7</f>
        <v/>
      </c>
      <c r="AE10" s="21">
        <f>1/(1+Girdiler!$C$72)^'Zaman'!AE7</f>
        <v/>
      </c>
      <c r="AF10" s="21">
        <f>1/(1+Girdiler!$C$72)^'Zaman'!AF7</f>
        <v/>
      </c>
      <c r="AG10" s="21">
        <f>1/(1+Girdiler!$C$72)^'Zaman'!AG7</f>
        <v/>
      </c>
      <c r="AH10" s="21">
        <f>1/(1+Girdiler!$C$72)^'Zaman'!AH7</f>
        <v/>
      </c>
      <c r="AI10" s="21">
        <f>1/(1+Girdiler!$C$72)^'Zaman'!AI7</f>
        <v/>
      </c>
      <c r="AJ10" s="21">
        <f>1/(1+Girdiler!$C$72)^'Zaman'!AJ7</f>
        <v/>
      </c>
      <c r="AK10" s="21">
        <f>1/(1+Girdiler!$C$72)^'Zaman'!AK7</f>
        <v/>
      </c>
      <c r="AL10" s="21">
        <f>1/(1+Girdiler!$C$72)^'Zaman'!AL7</f>
        <v/>
      </c>
      <c r="AM10" s="21">
        <f>1/(1+Girdiler!$C$72)^'Zaman'!AM7</f>
        <v/>
      </c>
      <c r="AN10" s="21">
        <f>1/(1+Girdiler!$C$72)^'Zaman'!AN7</f>
        <v/>
      </c>
      <c r="AO10" s="21">
        <f>1/(1+Girdiler!$C$72)^'Zaman'!AO7</f>
        <v/>
      </c>
      <c r="AP10" s="21">
        <f>1/(1+Girdiler!$C$72)^'Zaman'!AP7</f>
        <v/>
      </c>
      <c r="AQ10" s="21">
        <f>1/(1+Girdiler!$C$72)^'Zaman'!AQ7</f>
        <v/>
      </c>
      <c r="AR10" s="21">
        <f>1/(1+Girdiler!$C$72)^'Zaman'!AR7</f>
        <v/>
      </c>
    </row>
    <row r="11">
      <c r="A11" t="inlineStr">
        <is>
          <t>Enflasyon endeksi (1 + π)^(2 + k)</t>
        </is>
      </c>
      <c r="B11" t="inlineStr"/>
      <c r="C11" t="inlineStr"/>
      <c r="E11" s="21" t="n">
        <v>0</v>
      </c>
      <c r="F11" s="21">
        <f>IF('Zaman'!F9&gt;0,(1+Girdiler!$C$73)^(2+'Zaman'!F9),0)</f>
        <v/>
      </c>
      <c r="G11" s="21">
        <f>IF('Zaman'!G9&gt;0,(1+Girdiler!$C$73)^(2+'Zaman'!G9),0)</f>
        <v/>
      </c>
      <c r="H11" s="21">
        <f>IF('Zaman'!H9&gt;0,(1+Girdiler!$C$73)^(2+'Zaman'!H9),0)</f>
        <v/>
      </c>
      <c r="I11" s="21">
        <f>IF('Zaman'!I9&gt;0,(1+Girdiler!$C$73)^(2+'Zaman'!I9),0)</f>
        <v/>
      </c>
      <c r="J11" s="21">
        <f>IF('Zaman'!J9&gt;0,(1+Girdiler!$C$73)^(2+'Zaman'!J9),0)</f>
        <v/>
      </c>
      <c r="K11" s="21">
        <f>IF('Zaman'!K9&gt;0,(1+Girdiler!$C$73)^(2+'Zaman'!K9),0)</f>
        <v/>
      </c>
      <c r="L11" s="21">
        <f>IF('Zaman'!L9&gt;0,(1+Girdiler!$C$73)^(2+'Zaman'!L9),0)</f>
        <v/>
      </c>
      <c r="M11" s="21">
        <f>IF('Zaman'!M9&gt;0,(1+Girdiler!$C$73)^(2+'Zaman'!M9),0)</f>
        <v/>
      </c>
      <c r="N11" s="21">
        <f>IF('Zaman'!N9&gt;0,(1+Girdiler!$C$73)^(2+'Zaman'!N9),0)</f>
        <v/>
      </c>
      <c r="O11" s="21">
        <f>IF('Zaman'!O9&gt;0,(1+Girdiler!$C$73)^(2+'Zaman'!O9),0)</f>
        <v/>
      </c>
      <c r="P11" s="21">
        <f>IF('Zaman'!P9&gt;0,(1+Girdiler!$C$73)^(2+'Zaman'!P9),0)</f>
        <v/>
      </c>
      <c r="Q11" s="21">
        <f>IF('Zaman'!Q9&gt;0,(1+Girdiler!$C$73)^(2+'Zaman'!Q9),0)</f>
        <v/>
      </c>
      <c r="R11" s="21">
        <f>IF('Zaman'!R9&gt;0,(1+Girdiler!$C$73)^(2+'Zaman'!R9),0)</f>
        <v/>
      </c>
      <c r="S11" s="21">
        <f>IF('Zaman'!S9&gt;0,(1+Girdiler!$C$73)^(2+'Zaman'!S9),0)</f>
        <v/>
      </c>
      <c r="T11" s="21">
        <f>IF('Zaman'!T9&gt;0,(1+Girdiler!$C$73)^(2+'Zaman'!T9),0)</f>
        <v/>
      </c>
      <c r="U11" s="21">
        <f>IF('Zaman'!U9&gt;0,(1+Girdiler!$C$73)^(2+'Zaman'!U9),0)</f>
        <v/>
      </c>
      <c r="V11" s="21">
        <f>IF('Zaman'!V9&gt;0,(1+Girdiler!$C$73)^(2+'Zaman'!V9),0)</f>
        <v/>
      </c>
      <c r="W11" s="21">
        <f>IF('Zaman'!W9&gt;0,(1+Girdiler!$C$73)^(2+'Zaman'!W9),0)</f>
        <v/>
      </c>
      <c r="X11" s="21">
        <f>IF('Zaman'!X9&gt;0,(1+Girdiler!$C$73)^(2+'Zaman'!X9),0)</f>
        <v/>
      </c>
      <c r="Y11" s="21">
        <f>IF('Zaman'!Y9&gt;0,(1+Girdiler!$C$73)^(2+'Zaman'!Y9),0)</f>
        <v/>
      </c>
      <c r="Z11" s="21">
        <f>IF('Zaman'!Z9&gt;0,(1+Girdiler!$C$73)^(2+'Zaman'!Z9),0)</f>
        <v/>
      </c>
      <c r="AA11" s="21">
        <f>IF('Zaman'!AA9&gt;0,(1+Girdiler!$C$73)^(2+'Zaman'!AA9),0)</f>
        <v/>
      </c>
      <c r="AB11" s="21">
        <f>IF('Zaman'!AB9&gt;0,(1+Girdiler!$C$73)^(2+'Zaman'!AB9),0)</f>
        <v/>
      </c>
      <c r="AC11" s="21">
        <f>IF('Zaman'!AC9&gt;0,(1+Girdiler!$C$73)^(2+'Zaman'!AC9),0)</f>
        <v/>
      </c>
      <c r="AD11" s="21">
        <f>IF('Zaman'!AD9&gt;0,(1+Girdiler!$C$73)^(2+'Zaman'!AD9),0)</f>
        <v/>
      </c>
      <c r="AE11" s="21">
        <f>IF('Zaman'!AE9&gt;0,(1+Girdiler!$C$73)^(2+'Zaman'!AE9),0)</f>
        <v/>
      </c>
      <c r="AF11" s="21">
        <f>IF('Zaman'!AF9&gt;0,(1+Girdiler!$C$73)^(2+'Zaman'!AF9),0)</f>
        <v/>
      </c>
      <c r="AG11" s="21">
        <f>IF('Zaman'!AG9&gt;0,(1+Girdiler!$C$73)^(2+'Zaman'!AG9),0)</f>
        <v/>
      </c>
      <c r="AH11" s="21">
        <f>IF('Zaman'!AH9&gt;0,(1+Girdiler!$C$73)^(2+'Zaman'!AH9),0)</f>
        <v/>
      </c>
      <c r="AI11" s="21">
        <f>IF('Zaman'!AI9&gt;0,(1+Girdiler!$C$73)^(2+'Zaman'!AI9),0)</f>
        <v/>
      </c>
      <c r="AJ11" s="21">
        <f>IF('Zaman'!AJ9&gt;0,(1+Girdiler!$C$73)^(2+'Zaman'!AJ9),0)</f>
        <v/>
      </c>
      <c r="AK11" s="21">
        <f>IF('Zaman'!AK9&gt;0,(1+Girdiler!$C$73)^(2+'Zaman'!AK9),0)</f>
        <v/>
      </c>
      <c r="AL11" s="21">
        <f>IF('Zaman'!AL9&gt;0,(1+Girdiler!$C$73)^(2+'Zaman'!AL9),0)</f>
        <v/>
      </c>
      <c r="AM11" s="21">
        <f>IF('Zaman'!AM9&gt;0,(1+Girdiler!$C$73)^(2+'Zaman'!AM9),0)</f>
        <v/>
      </c>
      <c r="AN11" s="21">
        <f>IF('Zaman'!AN9&gt;0,(1+Girdiler!$C$73)^(2+'Zaman'!AN9),0)</f>
        <v/>
      </c>
      <c r="AO11" s="21">
        <f>IF('Zaman'!AO9&gt;0,(1+Girdiler!$C$73)^(2+'Zaman'!AO9),0)</f>
        <v/>
      </c>
      <c r="AP11" s="21">
        <f>IF('Zaman'!AP9&gt;0,(1+Girdiler!$C$73)^(2+'Zaman'!AP9),0)</f>
        <v/>
      </c>
      <c r="AQ11" s="21">
        <f>IF('Zaman'!AQ9&gt;0,(1+Girdiler!$C$73)^(2+'Zaman'!AQ9),0)</f>
        <v/>
      </c>
      <c r="AR11" s="21">
        <f>IF('Zaman'!AR9&gt;0,(1+Girdiler!$C$73)^(2+'Zaman'!AR9),0)</f>
        <v/>
      </c>
    </row>
    <row r="12">
      <c r="A12" t="inlineStr">
        <is>
          <t>LCOE iskontosu (inşaat başından)</t>
        </is>
      </c>
      <c r="B12" t="inlineStr"/>
      <c r="C12" t="inlineStr"/>
      <c r="E12" s="21" t="n">
        <v>0</v>
      </c>
      <c r="F12" s="21">
        <f>IF('Zaman'!F6&gt;=Girdiler!$C$12-2,1/(1+Girdiler!$C$72)^('Zaman'!F6-(Girdiler!$C$12-2)+1),0)</f>
        <v/>
      </c>
      <c r="G12" s="21">
        <f>IF('Zaman'!G6&gt;=Girdiler!$C$12-2,1/(1+Girdiler!$C$72)^('Zaman'!G6-(Girdiler!$C$12-2)+1),0)</f>
        <v/>
      </c>
      <c r="H12" s="21">
        <f>IF('Zaman'!H6&gt;=Girdiler!$C$12-2,1/(1+Girdiler!$C$72)^('Zaman'!H6-(Girdiler!$C$12-2)+1),0)</f>
        <v/>
      </c>
      <c r="I12" s="21">
        <f>IF('Zaman'!I6&gt;=Girdiler!$C$12-2,1/(1+Girdiler!$C$72)^('Zaman'!I6-(Girdiler!$C$12-2)+1),0)</f>
        <v/>
      </c>
      <c r="J12" s="21">
        <f>IF('Zaman'!J6&gt;=Girdiler!$C$12-2,1/(1+Girdiler!$C$72)^('Zaman'!J6-(Girdiler!$C$12-2)+1),0)</f>
        <v/>
      </c>
      <c r="K12" s="21">
        <f>IF('Zaman'!K6&gt;=Girdiler!$C$12-2,1/(1+Girdiler!$C$72)^('Zaman'!K6-(Girdiler!$C$12-2)+1),0)</f>
        <v/>
      </c>
      <c r="L12" s="21">
        <f>IF('Zaman'!L6&gt;=Girdiler!$C$12-2,1/(1+Girdiler!$C$72)^('Zaman'!L6-(Girdiler!$C$12-2)+1),0)</f>
        <v/>
      </c>
      <c r="M12" s="21">
        <f>IF('Zaman'!M6&gt;=Girdiler!$C$12-2,1/(1+Girdiler!$C$72)^('Zaman'!M6-(Girdiler!$C$12-2)+1),0)</f>
        <v/>
      </c>
      <c r="N12" s="21">
        <f>IF('Zaman'!N6&gt;=Girdiler!$C$12-2,1/(1+Girdiler!$C$72)^('Zaman'!N6-(Girdiler!$C$12-2)+1),0)</f>
        <v/>
      </c>
      <c r="O12" s="21">
        <f>IF('Zaman'!O6&gt;=Girdiler!$C$12-2,1/(1+Girdiler!$C$72)^('Zaman'!O6-(Girdiler!$C$12-2)+1),0)</f>
        <v/>
      </c>
      <c r="P12" s="21">
        <f>IF('Zaman'!P6&gt;=Girdiler!$C$12-2,1/(1+Girdiler!$C$72)^('Zaman'!P6-(Girdiler!$C$12-2)+1),0)</f>
        <v/>
      </c>
      <c r="Q12" s="21">
        <f>IF('Zaman'!Q6&gt;=Girdiler!$C$12-2,1/(1+Girdiler!$C$72)^('Zaman'!Q6-(Girdiler!$C$12-2)+1),0)</f>
        <v/>
      </c>
      <c r="R12" s="21">
        <f>IF('Zaman'!R6&gt;=Girdiler!$C$12-2,1/(1+Girdiler!$C$72)^('Zaman'!R6-(Girdiler!$C$12-2)+1),0)</f>
        <v/>
      </c>
      <c r="S12" s="21">
        <f>IF('Zaman'!S6&gt;=Girdiler!$C$12-2,1/(1+Girdiler!$C$72)^('Zaman'!S6-(Girdiler!$C$12-2)+1),0)</f>
        <v/>
      </c>
      <c r="T12" s="21">
        <f>IF('Zaman'!T6&gt;=Girdiler!$C$12-2,1/(1+Girdiler!$C$72)^('Zaman'!T6-(Girdiler!$C$12-2)+1),0)</f>
        <v/>
      </c>
      <c r="U12" s="21">
        <f>IF('Zaman'!U6&gt;=Girdiler!$C$12-2,1/(1+Girdiler!$C$72)^('Zaman'!U6-(Girdiler!$C$12-2)+1),0)</f>
        <v/>
      </c>
      <c r="V12" s="21">
        <f>IF('Zaman'!V6&gt;=Girdiler!$C$12-2,1/(1+Girdiler!$C$72)^('Zaman'!V6-(Girdiler!$C$12-2)+1),0)</f>
        <v/>
      </c>
      <c r="W12" s="21">
        <f>IF('Zaman'!W6&gt;=Girdiler!$C$12-2,1/(1+Girdiler!$C$72)^('Zaman'!W6-(Girdiler!$C$12-2)+1),0)</f>
        <v/>
      </c>
      <c r="X12" s="21">
        <f>IF('Zaman'!X6&gt;=Girdiler!$C$12-2,1/(1+Girdiler!$C$72)^('Zaman'!X6-(Girdiler!$C$12-2)+1),0)</f>
        <v/>
      </c>
      <c r="Y12" s="21">
        <f>IF('Zaman'!Y6&gt;=Girdiler!$C$12-2,1/(1+Girdiler!$C$72)^('Zaman'!Y6-(Girdiler!$C$12-2)+1),0)</f>
        <v/>
      </c>
      <c r="Z12" s="21">
        <f>IF('Zaman'!Z6&gt;=Girdiler!$C$12-2,1/(1+Girdiler!$C$72)^('Zaman'!Z6-(Girdiler!$C$12-2)+1),0)</f>
        <v/>
      </c>
      <c r="AA12" s="21">
        <f>IF('Zaman'!AA6&gt;=Girdiler!$C$12-2,1/(1+Girdiler!$C$72)^('Zaman'!AA6-(Girdiler!$C$12-2)+1),0)</f>
        <v/>
      </c>
      <c r="AB12" s="21">
        <f>IF('Zaman'!AB6&gt;=Girdiler!$C$12-2,1/(1+Girdiler!$C$72)^('Zaman'!AB6-(Girdiler!$C$12-2)+1),0)</f>
        <v/>
      </c>
      <c r="AC12" s="21">
        <f>IF('Zaman'!AC6&gt;=Girdiler!$C$12-2,1/(1+Girdiler!$C$72)^('Zaman'!AC6-(Girdiler!$C$12-2)+1),0)</f>
        <v/>
      </c>
      <c r="AD12" s="21">
        <f>IF('Zaman'!AD6&gt;=Girdiler!$C$12-2,1/(1+Girdiler!$C$72)^('Zaman'!AD6-(Girdiler!$C$12-2)+1),0)</f>
        <v/>
      </c>
      <c r="AE12" s="21">
        <f>IF('Zaman'!AE6&gt;=Girdiler!$C$12-2,1/(1+Girdiler!$C$72)^('Zaman'!AE6-(Girdiler!$C$12-2)+1),0)</f>
        <v/>
      </c>
      <c r="AF12" s="21">
        <f>IF('Zaman'!AF6&gt;=Girdiler!$C$12-2,1/(1+Girdiler!$C$72)^('Zaman'!AF6-(Girdiler!$C$12-2)+1),0)</f>
        <v/>
      </c>
      <c r="AG12" s="21">
        <f>IF('Zaman'!AG6&gt;=Girdiler!$C$12-2,1/(1+Girdiler!$C$72)^('Zaman'!AG6-(Girdiler!$C$12-2)+1),0)</f>
        <v/>
      </c>
      <c r="AH12" s="21">
        <f>IF('Zaman'!AH6&gt;=Girdiler!$C$12-2,1/(1+Girdiler!$C$72)^('Zaman'!AH6-(Girdiler!$C$12-2)+1),0)</f>
        <v/>
      </c>
      <c r="AI12" s="21">
        <f>IF('Zaman'!AI6&gt;=Girdiler!$C$12-2,1/(1+Girdiler!$C$72)^('Zaman'!AI6-(Girdiler!$C$12-2)+1),0)</f>
        <v/>
      </c>
      <c r="AJ12" s="21">
        <f>IF('Zaman'!AJ6&gt;=Girdiler!$C$12-2,1/(1+Girdiler!$C$72)^('Zaman'!AJ6-(Girdiler!$C$12-2)+1),0)</f>
        <v/>
      </c>
      <c r="AK12" s="21">
        <f>IF('Zaman'!AK6&gt;=Girdiler!$C$12-2,1/(1+Girdiler!$C$72)^('Zaman'!AK6-(Girdiler!$C$12-2)+1),0)</f>
        <v/>
      </c>
      <c r="AL12" s="21">
        <f>IF('Zaman'!AL6&gt;=Girdiler!$C$12-2,1/(1+Girdiler!$C$72)^('Zaman'!AL6-(Girdiler!$C$12-2)+1),0)</f>
        <v/>
      </c>
      <c r="AM12" s="21">
        <f>IF('Zaman'!AM6&gt;=Girdiler!$C$12-2,1/(1+Girdiler!$C$72)^('Zaman'!AM6-(Girdiler!$C$12-2)+1),0)</f>
        <v/>
      </c>
      <c r="AN12" s="21">
        <f>IF('Zaman'!AN6&gt;=Girdiler!$C$12-2,1/(1+Girdiler!$C$72)^('Zaman'!AN6-(Girdiler!$C$12-2)+1),0)</f>
        <v/>
      </c>
      <c r="AO12" s="21">
        <f>IF('Zaman'!AO6&gt;=Girdiler!$C$12-2,1/(1+Girdiler!$C$72)^('Zaman'!AO6-(Girdiler!$C$12-2)+1),0)</f>
        <v/>
      </c>
      <c r="AP12" s="21">
        <f>IF('Zaman'!AP6&gt;=Girdiler!$C$12-2,1/(1+Girdiler!$C$72)^('Zaman'!AP6-(Girdiler!$C$12-2)+1),0)</f>
        <v/>
      </c>
      <c r="AQ12" s="21">
        <f>IF('Zaman'!AQ6&gt;=Girdiler!$C$12-2,1/(1+Girdiler!$C$72)^('Zaman'!AQ6-(Girdiler!$C$12-2)+1),0)</f>
        <v/>
      </c>
      <c r="AR12" s="21">
        <f>IF('Zaman'!AR6&gt;=Girdiler!$C$12-2,1/(1+Girdiler!$C$72)^('Zaman'!AR6-(Girdiler!$C$12-2)+1),0)</f>
        <v/>
      </c>
    </row>
    <row r="13">
      <c r="A13" t="inlineStr">
        <is>
          <t>Python girdisi var mı (1 ≤ k ≤ 30)</t>
        </is>
      </c>
      <c r="B13" t="inlineStr"/>
      <c r="C13" t="inlineStr"/>
      <c r="E13" s="23" t="n">
        <v>0</v>
      </c>
      <c r="F13" s="23">
        <f>IF(AND('Zaman'!F9&gt;=1,'Zaman'!F9&lt;=30),1,0)</f>
        <v/>
      </c>
      <c r="G13" s="23">
        <f>IF(AND('Zaman'!G9&gt;=1,'Zaman'!G9&lt;=30),1,0)</f>
        <v/>
      </c>
      <c r="H13" s="23">
        <f>IF(AND('Zaman'!H9&gt;=1,'Zaman'!H9&lt;=30),1,0)</f>
        <v/>
      </c>
      <c r="I13" s="23">
        <f>IF(AND('Zaman'!I9&gt;=1,'Zaman'!I9&lt;=30),1,0)</f>
        <v/>
      </c>
      <c r="J13" s="23">
        <f>IF(AND('Zaman'!J9&gt;=1,'Zaman'!J9&lt;=30),1,0)</f>
        <v/>
      </c>
      <c r="K13" s="23">
        <f>IF(AND('Zaman'!K9&gt;=1,'Zaman'!K9&lt;=30),1,0)</f>
        <v/>
      </c>
      <c r="L13" s="23">
        <f>IF(AND('Zaman'!L9&gt;=1,'Zaman'!L9&lt;=30),1,0)</f>
        <v/>
      </c>
      <c r="M13" s="23">
        <f>IF(AND('Zaman'!M9&gt;=1,'Zaman'!M9&lt;=30),1,0)</f>
        <v/>
      </c>
      <c r="N13" s="23">
        <f>IF(AND('Zaman'!N9&gt;=1,'Zaman'!N9&lt;=30),1,0)</f>
        <v/>
      </c>
      <c r="O13" s="23">
        <f>IF(AND('Zaman'!O9&gt;=1,'Zaman'!O9&lt;=30),1,0)</f>
        <v/>
      </c>
      <c r="P13" s="23">
        <f>IF(AND('Zaman'!P9&gt;=1,'Zaman'!P9&lt;=30),1,0)</f>
        <v/>
      </c>
      <c r="Q13" s="23">
        <f>IF(AND('Zaman'!Q9&gt;=1,'Zaman'!Q9&lt;=30),1,0)</f>
        <v/>
      </c>
      <c r="R13" s="23">
        <f>IF(AND('Zaman'!R9&gt;=1,'Zaman'!R9&lt;=30),1,0)</f>
        <v/>
      </c>
      <c r="S13" s="23">
        <f>IF(AND('Zaman'!S9&gt;=1,'Zaman'!S9&lt;=30),1,0)</f>
        <v/>
      </c>
      <c r="T13" s="23">
        <f>IF(AND('Zaman'!T9&gt;=1,'Zaman'!T9&lt;=30),1,0)</f>
        <v/>
      </c>
      <c r="U13" s="23">
        <f>IF(AND('Zaman'!U9&gt;=1,'Zaman'!U9&lt;=30),1,0)</f>
        <v/>
      </c>
      <c r="V13" s="23">
        <f>IF(AND('Zaman'!V9&gt;=1,'Zaman'!V9&lt;=30),1,0)</f>
        <v/>
      </c>
      <c r="W13" s="23">
        <f>IF(AND('Zaman'!W9&gt;=1,'Zaman'!W9&lt;=30),1,0)</f>
        <v/>
      </c>
      <c r="X13" s="23">
        <f>IF(AND('Zaman'!X9&gt;=1,'Zaman'!X9&lt;=30),1,0)</f>
        <v/>
      </c>
      <c r="Y13" s="23">
        <f>IF(AND('Zaman'!Y9&gt;=1,'Zaman'!Y9&lt;=30),1,0)</f>
        <v/>
      </c>
      <c r="Z13" s="23">
        <f>IF(AND('Zaman'!Z9&gt;=1,'Zaman'!Z9&lt;=30),1,0)</f>
        <v/>
      </c>
      <c r="AA13" s="23">
        <f>IF(AND('Zaman'!AA9&gt;=1,'Zaman'!AA9&lt;=30),1,0)</f>
        <v/>
      </c>
      <c r="AB13" s="23">
        <f>IF(AND('Zaman'!AB9&gt;=1,'Zaman'!AB9&lt;=30),1,0)</f>
        <v/>
      </c>
      <c r="AC13" s="23">
        <f>IF(AND('Zaman'!AC9&gt;=1,'Zaman'!AC9&lt;=30),1,0)</f>
        <v/>
      </c>
      <c r="AD13" s="23">
        <f>IF(AND('Zaman'!AD9&gt;=1,'Zaman'!AD9&lt;=30),1,0)</f>
        <v/>
      </c>
      <c r="AE13" s="23">
        <f>IF(AND('Zaman'!AE9&gt;=1,'Zaman'!AE9&lt;=30),1,0)</f>
        <v/>
      </c>
      <c r="AF13" s="23">
        <f>IF(AND('Zaman'!AF9&gt;=1,'Zaman'!AF9&lt;=30),1,0)</f>
        <v/>
      </c>
      <c r="AG13" s="23">
        <f>IF(AND('Zaman'!AG9&gt;=1,'Zaman'!AG9&lt;=30),1,0)</f>
        <v/>
      </c>
      <c r="AH13" s="23">
        <f>IF(AND('Zaman'!AH9&gt;=1,'Zaman'!AH9&lt;=30),1,0)</f>
        <v/>
      </c>
      <c r="AI13" s="23">
        <f>IF(AND('Zaman'!AI9&gt;=1,'Zaman'!AI9&lt;=30),1,0)</f>
        <v/>
      </c>
      <c r="AJ13" s="23">
        <f>IF(AND('Zaman'!AJ9&gt;=1,'Zaman'!AJ9&lt;=30),1,0)</f>
        <v/>
      </c>
      <c r="AK13" s="23">
        <f>IF(AND('Zaman'!AK9&gt;=1,'Zaman'!AK9&lt;=30),1,0)</f>
        <v/>
      </c>
      <c r="AL13" s="23">
        <f>IF(AND('Zaman'!AL9&gt;=1,'Zaman'!AL9&lt;=30),1,0)</f>
        <v/>
      </c>
      <c r="AM13" s="23">
        <f>IF(AND('Zaman'!AM9&gt;=1,'Zaman'!AM9&lt;=30),1,0)</f>
        <v/>
      </c>
      <c r="AN13" s="23">
        <f>IF(AND('Zaman'!AN9&gt;=1,'Zaman'!AN9&lt;=30),1,0)</f>
        <v/>
      </c>
      <c r="AO13" s="23">
        <f>IF(AND('Zaman'!AO9&gt;=1,'Zaman'!AO9&lt;=30),1,0)</f>
        <v/>
      </c>
      <c r="AP13" s="23">
        <f>IF(AND('Zaman'!AP9&gt;=1,'Zaman'!AP9&lt;=30),1,0)</f>
        <v/>
      </c>
      <c r="AQ13" s="23">
        <f>IF(AND('Zaman'!AQ9&gt;=1,'Zaman'!AQ9&lt;=30),1,0)</f>
        <v/>
      </c>
      <c r="AR13" s="23">
        <f>IF(AND('Zaman'!AR9&gt;=1,'Zaman'!AR9&lt;=30),1,0)</f>
        <v/>
      </c>
    </row>
    <row r="14">
      <c r="A14" t="inlineStr">
        <is>
          <t>YEKDEM reel fiyatı</t>
        </is>
      </c>
      <c r="B14" t="inlineStr">
        <is>
          <t>USD/MWh</t>
        </is>
      </c>
      <c r="C14" t="inlineStr">
        <is>
          <t>Nominal koridor reel olarak aşınır; endeksli varsayımda sabit</t>
        </is>
      </c>
      <c r="E14" s="24" t="n">
        <v>0</v>
      </c>
      <c r="F14" s="24">
        <f>IF(Girdiler!$C$19=4,Girdiler!$C$67*10,Girdiler!$C$67*10/(1+Girdiler!$C$73)^('Zaman'!F6-2026))</f>
        <v/>
      </c>
      <c r="G14" s="24">
        <f>IF(Girdiler!$C$19=4,Girdiler!$C$67*10,Girdiler!$C$67*10/(1+Girdiler!$C$73)^('Zaman'!G6-2026))</f>
        <v/>
      </c>
      <c r="H14" s="24">
        <f>IF(Girdiler!$C$19=4,Girdiler!$C$67*10,Girdiler!$C$67*10/(1+Girdiler!$C$73)^('Zaman'!H6-2026))</f>
        <v/>
      </c>
      <c r="I14" s="24">
        <f>IF(Girdiler!$C$19=4,Girdiler!$C$67*10,Girdiler!$C$67*10/(1+Girdiler!$C$73)^('Zaman'!I6-2026))</f>
        <v/>
      </c>
      <c r="J14" s="24">
        <f>IF(Girdiler!$C$19=4,Girdiler!$C$67*10,Girdiler!$C$67*10/(1+Girdiler!$C$73)^('Zaman'!J6-2026))</f>
        <v/>
      </c>
      <c r="K14" s="24">
        <f>IF(Girdiler!$C$19=4,Girdiler!$C$67*10,Girdiler!$C$67*10/(1+Girdiler!$C$73)^('Zaman'!K6-2026))</f>
        <v/>
      </c>
      <c r="L14" s="24">
        <f>IF(Girdiler!$C$19=4,Girdiler!$C$67*10,Girdiler!$C$67*10/(1+Girdiler!$C$73)^('Zaman'!L6-2026))</f>
        <v/>
      </c>
      <c r="M14" s="24">
        <f>IF(Girdiler!$C$19=4,Girdiler!$C$67*10,Girdiler!$C$67*10/(1+Girdiler!$C$73)^('Zaman'!M6-2026))</f>
        <v/>
      </c>
      <c r="N14" s="24">
        <f>IF(Girdiler!$C$19=4,Girdiler!$C$67*10,Girdiler!$C$67*10/(1+Girdiler!$C$73)^('Zaman'!N6-2026))</f>
        <v/>
      </c>
      <c r="O14" s="24">
        <f>IF(Girdiler!$C$19=4,Girdiler!$C$67*10,Girdiler!$C$67*10/(1+Girdiler!$C$73)^('Zaman'!O6-2026))</f>
        <v/>
      </c>
      <c r="P14" s="24">
        <f>IF(Girdiler!$C$19=4,Girdiler!$C$67*10,Girdiler!$C$67*10/(1+Girdiler!$C$73)^('Zaman'!P6-2026))</f>
        <v/>
      </c>
      <c r="Q14" s="24">
        <f>IF(Girdiler!$C$19=4,Girdiler!$C$67*10,Girdiler!$C$67*10/(1+Girdiler!$C$73)^('Zaman'!Q6-2026))</f>
        <v/>
      </c>
      <c r="R14" s="24">
        <f>IF(Girdiler!$C$19=4,Girdiler!$C$67*10,Girdiler!$C$67*10/(1+Girdiler!$C$73)^('Zaman'!R6-2026))</f>
        <v/>
      </c>
      <c r="S14" s="24">
        <f>IF(Girdiler!$C$19=4,Girdiler!$C$67*10,Girdiler!$C$67*10/(1+Girdiler!$C$73)^('Zaman'!S6-2026))</f>
        <v/>
      </c>
      <c r="T14" s="24">
        <f>IF(Girdiler!$C$19=4,Girdiler!$C$67*10,Girdiler!$C$67*10/(1+Girdiler!$C$73)^('Zaman'!T6-2026))</f>
        <v/>
      </c>
      <c r="U14" s="24">
        <f>IF(Girdiler!$C$19=4,Girdiler!$C$67*10,Girdiler!$C$67*10/(1+Girdiler!$C$73)^('Zaman'!U6-2026))</f>
        <v/>
      </c>
      <c r="V14" s="24">
        <f>IF(Girdiler!$C$19=4,Girdiler!$C$67*10,Girdiler!$C$67*10/(1+Girdiler!$C$73)^('Zaman'!V6-2026))</f>
        <v/>
      </c>
      <c r="W14" s="24">
        <f>IF(Girdiler!$C$19=4,Girdiler!$C$67*10,Girdiler!$C$67*10/(1+Girdiler!$C$73)^('Zaman'!W6-2026))</f>
        <v/>
      </c>
      <c r="X14" s="24">
        <f>IF(Girdiler!$C$19=4,Girdiler!$C$67*10,Girdiler!$C$67*10/(1+Girdiler!$C$73)^('Zaman'!X6-2026))</f>
        <v/>
      </c>
      <c r="Y14" s="24">
        <f>IF(Girdiler!$C$19=4,Girdiler!$C$67*10,Girdiler!$C$67*10/(1+Girdiler!$C$73)^('Zaman'!Y6-2026))</f>
        <v/>
      </c>
      <c r="Z14" s="24">
        <f>IF(Girdiler!$C$19=4,Girdiler!$C$67*10,Girdiler!$C$67*10/(1+Girdiler!$C$73)^('Zaman'!Z6-2026))</f>
        <v/>
      </c>
      <c r="AA14" s="24">
        <f>IF(Girdiler!$C$19=4,Girdiler!$C$67*10,Girdiler!$C$67*10/(1+Girdiler!$C$73)^('Zaman'!AA6-2026))</f>
        <v/>
      </c>
      <c r="AB14" s="24">
        <f>IF(Girdiler!$C$19=4,Girdiler!$C$67*10,Girdiler!$C$67*10/(1+Girdiler!$C$73)^('Zaman'!AB6-2026))</f>
        <v/>
      </c>
      <c r="AC14" s="24">
        <f>IF(Girdiler!$C$19=4,Girdiler!$C$67*10,Girdiler!$C$67*10/(1+Girdiler!$C$73)^('Zaman'!AC6-2026))</f>
        <v/>
      </c>
      <c r="AD14" s="24">
        <f>IF(Girdiler!$C$19=4,Girdiler!$C$67*10,Girdiler!$C$67*10/(1+Girdiler!$C$73)^('Zaman'!AD6-2026))</f>
        <v/>
      </c>
      <c r="AE14" s="24">
        <f>IF(Girdiler!$C$19=4,Girdiler!$C$67*10,Girdiler!$C$67*10/(1+Girdiler!$C$73)^('Zaman'!AE6-2026))</f>
        <v/>
      </c>
      <c r="AF14" s="24">
        <f>IF(Girdiler!$C$19=4,Girdiler!$C$67*10,Girdiler!$C$67*10/(1+Girdiler!$C$73)^('Zaman'!AF6-2026))</f>
        <v/>
      </c>
      <c r="AG14" s="24">
        <f>IF(Girdiler!$C$19=4,Girdiler!$C$67*10,Girdiler!$C$67*10/(1+Girdiler!$C$73)^('Zaman'!AG6-2026))</f>
        <v/>
      </c>
      <c r="AH14" s="24">
        <f>IF(Girdiler!$C$19=4,Girdiler!$C$67*10,Girdiler!$C$67*10/(1+Girdiler!$C$73)^('Zaman'!AH6-2026))</f>
        <v/>
      </c>
      <c r="AI14" s="24">
        <f>IF(Girdiler!$C$19=4,Girdiler!$C$67*10,Girdiler!$C$67*10/(1+Girdiler!$C$73)^('Zaman'!AI6-2026))</f>
        <v/>
      </c>
      <c r="AJ14" s="24">
        <f>IF(Girdiler!$C$19=4,Girdiler!$C$67*10,Girdiler!$C$67*10/(1+Girdiler!$C$73)^('Zaman'!AJ6-2026))</f>
        <v/>
      </c>
      <c r="AK14" s="24">
        <f>IF(Girdiler!$C$19=4,Girdiler!$C$67*10,Girdiler!$C$67*10/(1+Girdiler!$C$73)^('Zaman'!AK6-2026))</f>
        <v/>
      </c>
      <c r="AL14" s="24">
        <f>IF(Girdiler!$C$19=4,Girdiler!$C$67*10,Girdiler!$C$67*10/(1+Girdiler!$C$73)^('Zaman'!AL6-2026))</f>
        <v/>
      </c>
      <c r="AM14" s="24">
        <f>IF(Girdiler!$C$19=4,Girdiler!$C$67*10,Girdiler!$C$67*10/(1+Girdiler!$C$73)^('Zaman'!AM6-2026))</f>
        <v/>
      </c>
      <c r="AN14" s="24">
        <f>IF(Girdiler!$C$19=4,Girdiler!$C$67*10,Girdiler!$C$67*10/(1+Girdiler!$C$73)^('Zaman'!AN6-2026))</f>
        <v/>
      </c>
      <c r="AO14" s="24">
        <f>IF(Girdiler!$C$19=4,Girdiler!$C$67*10,Girdiler!$C$67*10/(1+Girdiler!$C$73)^('Zaman'!AO6-2026))</f>
        <v/>
      </c>
      <c r="AP14" s="24">
        <f>IF(Girdiler!$C$19=4,Girdiler!$C$67*10,Girdiler!$C$67*10/(1+Girdiler!$C$73)^('Zaman'!AP6-2026))</f>
        <v/>
      </c>
      <c r="AQ14" s="24">
        <f>IF(Girdiler!$C$19=4,Girdiler!$C$67*10,Girdiler!$C$67*10/(1+Girdiler!$C$73)^('Zaman'!AQ6-2026))</f>
        <v/>
      </c>
      <c r="AR14" s="24">
        <f>IF(Girdiler!$C$19=4,Girdiler!$C$67*10,Girdiler!$C$67*10/(1+Girdiler!$C$73)^('Zaman'!AR6-2026))</f>
        <v/>
      </c>
    </row>
    <row r="15">
      <c r="A15" t="inlineStr">
        <is>
          <t>YEKDEM'e katılım (karar 30 Kasım t−1)</t>
        </is>
      </c>
      <c r="B15" t="inlineStr">
        <is>
          <t>0/1</t>
        </is>
      </c>
      <c r="C15" t="inlineStr">
        <is>
          <t>Katıl ⇔ YEKDEM reel &gt; eşik × beklenen PTF (deterministik: L)</t>
        </is>
      </c>
      <c r="D15" s="23">
        <f>SUM(F15:AR15)</f>
        <v/>
      </c>
      <c r="E15" s="23" t="n">
        <v>0</v>
      </c>
      <c r="F15" s="23">
        <f>IF(AND(Girdiler!$C$91=1,'Zaman'!F9&gt;=1,'Zaman'!F9&lt;=Girdiler!$C$68,'Zaman'!F14&gt;Girdiler!$C$69*Girdiler!$C$18),1,0)</f>
        <v/>
      </c>
      <c r="G15" s="23">
        <f>IF(AND(Girdiler!$C$91=1,'Zaman'!G9&gt;=1,'Zaman'!G9&lt;=Girdiler!$C$68,'Zaman'!G14&gt;Girdiler!$C$69*Girdiler!$C$18),1,0)</f>
        <v/>
      </c>
      <c r="H15" s="23">
        <f>IF(AND(Girdiler!$C$91=1,'Zaman'!H9&gt;=1,'Zaman'!H9&lt;=Girdiler!$C$68,'Zaman'!H14&gt;Girdiler!$C$69*Girdiler!$C$18),1,0)</f>
        <v/>
      </c>
      <c r="I15" s="23">
        <f>IF(AND(Girdiler!$C$91=1,'Zaman'!I9&gt;=1,'Zaman'!I9&lt;=Girdiler!$C$68,'Zaman'!I14&gt;Girdiler!$C$69*Girdiler!$C$18),1,0)</f>
        <v/>
      </c>
      <c r="J15" s="23">
        <f>IF(AND(Girdiler!$C$91=1,'Zaman'!J9&gt;=1,'Zaman'!J9&lt;=Girdiler!$C$68,'Zaman'!J14&gt;Girdiler!$C$69*Girdiler!$C$18),1,0)</f>
        <v/>
      </c>
      <c r="K15" s="23">
        <f>IF(AND(Girdiler!$C$91=1,'Zaman'!K9&gt;=1,'Zaman'!K9&lt;=Girdiler!$C$68,'Zaman'!K14&gt;Girdiler!$C$69*Girdiler!$C$18),1,0)</f>
        <v/>
      </c>
      <c r="L15" s="23">
        <f>IF(AND(Girdiler!$C$91=1,'Zaman'!L9&gt;=1,'Zaman'!L9&lt;=Girdiler!$C$68,'Zaman'!L14&gt;Girdiler!$C$69*Girdiler!$C$18),1,0)</f>
        <v/>
      </c>
      <c r="M15" s="23">
        <f>IF(AND(Girdiler!$C$91=1,'Zaman'!M9&gt;=1,'Zaman'!M9&lt;=Girdiler!$C$68,'Zaman'!M14&gt;Girdiler!$C$69*Girdiler!$C$18),1,0)</f>
        <v/>
      </c>
      <c r="N15" s="23">
        <f>IF(AND(Girdiler!$C$91=1,'Zaman'!N9&gt;=1,'Zaman'!N9&lt;=Girdiler!$C$68,'Zaman'!N14&gt;Girdiler!$C$69*Girdiler!$C$18),1,0)</f>
        <v/>
      </c>
      <c r="O15" s="23">
        <f>IF(AND(Girdiler!$C$91=1,'Zaman'!O9&gt;=1,'Zaman'!O9&lt;=Girdiler!$C$68,'Zaman'!O14&gt;Girdiler!$C$69*Girdiler!$C$18),1,0)</f>
        <v/>
      </c>
      <c r="P15" s="23">
        <f>IF(AND(Girdiler!$C$91=1,'Zaman'!P9&gt;=1,'Zaman'!P9&lt;=Girdiler!$C$68,'Zaman'!P14&gt;Girdiler!$C$69*Girdiler!$C$18),1,0)</f>
        <v/>
      </c>
      <c r="Q15" s="23">
        <f>IF(AND(Girdiler!$C$91=1,'Zaman'!Q9&gt;=1,'Zaman'!Q9&lt;=Girdiler!$C$68,'Zaman'!Q14&gt;Girdiler!$C$69*Girdiler!$C$18),1,0)</f>
        <v/>
      </c>
      <c r="R15" s="23">
        <f>IF(AND(Girdiler!$C$91=1,'Zaman'!R9&gt;=1,'Zaman'!R9&lt;=Girdiler!$C$68,'Zaman'!R14&gt;Girdiler!$C$69*Girdiler!$C$18),1,0)</f>
        <v/>
      </c>
      <c r="S15" s="23">
        <f>IF(AND(Girdiler!$C$91=1,'Zaman'!S9&gt;=1,'Zaman'!S9&lt;=Girdiler!$C$68,'Zaman'!S14&gt;Girdiler!$C$69*Girdiler!$C$18),1,0)</f>
        <v/>
      </c>
      <c r="T15" s="23">
        <f>IF(AND(Girdiler!$C$91=1,'Zaman'!T9&gt;=1,'Zaman'!T9&lt;=Girdiler!$C$68,'Zaman'!T14&gt;Girdiler!$C$69*Girdiler!$C$18),1,0)</f>
        <v/>
      </c>
      <c r="U15" s="23">
        <f>IF(AND(Girdiler!$C$91=1,'Zaman'!U9&gt;=1,'Zaman'!U9&lt;=Girdiler!$C$68,'Zaman'!U14&gt;Girdiler!$C$69*Girdiler!$C$18),1,0)</f>
        <v/>
      </c>
      <c r="V15" s="23">
        <f>IF(AND(Girdiler!$C$91=1,'Zaman'!V9&gt;=1,'Zaman'!V9&lt;=Girdiler!$C$68,'Zaman'!V14&gt;Girdiler!$C$69*Girdiler!$C$18),1,0)</f>
        <v/>
      </c>
      <c r="W15" s="23">
        <f>IF(AND(Girdiler!$C$91=1,'Zaman'!W9&gt;=1,'Zaman'!W9&lt;=Girdiler!$C$68,'Zaman'!W14&gt;Girdiler!$C$69*Girdiler!$C$18),1,0)</f>
        <v/>
      </c>
      <c r="X15" s="23">
        <f>IF(AND(Girdiler!$C$91=1,'Zaman'!X9&gt;=1,'Zaman'!X9&lt;=Girdiler!$C$68,'Zaman'!X14&gt;Girdiler!$C$69*Girdiler!$C$18),1,0)</f>
        <v/>
      </c>
      <c r="Y15" s="23">
        <f>IF(AND(Girdiler!$C$91=1,'Zaman'!Y9&gt;=1,'Zaman'!Y9&lt;=Girdiler!$C$68,'Zaman'!Y14&gt;Girdiler!$C$69*Girdiler!$C$18),1,0)</f>
        <v/>
      </c>
      <c r="Z15" s="23">
        <f>IF(AND(Girdiler!$C$91=1,'Zaman'!Z9&gt;=1,'Zaman'!Z9&lt;=Girdiler!$C$68,'Zaman'!Z14&gt;Girdiler!$C$69*Girdiler!$C$18),1,0)</f>
        <v/>
      </c>
      <c r="AA15" s="23">
        <f>IF(AND(Girdiler!$C$91=1,'Zaman'!AA9&gt;=1,'Zaman'!AA9&lt;=Girdiler!$C$68,'Zaman'!AA14&gt;Girdiler!$C$69*Girdiler!$C$18),1,0)</f>
        <v/>
      </c>
      <c r="AB15" s="23">
        <f>IF(AND(Girdiler!$C$91=1,'Zaman'!AB9&gt;=1,'Zaman'!AB9&lt;=Girdiler!$C$68,'Zaman'!AB14&gt;Girdiler!$C$69*Girdiler!$C$18),1,0)</f>
        <v/>
      </c>
      <c r="AC15" s="23">
        <f>IF(AND(Girdiler!$C$91=1,'Zaman'!AC9&gt;=1,'Zaman'!AC9&lt;=Girdiler!$C$68,'Zaman'!AC14&gt;Girdiler!$C$69*Girdiler!$C$18),1,0)</f>
        <v/>
      </c>
      <c r="AD15" s="23">
        <f>IF(AND(Girdiler!$C$91=1,'Zaman'!AD9&gt;=1,'Zaman'!AD9&lt;=Girdiler!$C$68,'Zaman'!AD14&gt;Girdiler!$C$69*Girdiler!$C$18),1,0)</f>
        <v/>
      </c>
      <c r="AE15" s="23">
        <f>IF(AND(Girdiler!$C$91=1,'Zaman'!AE9&gt;=1,'Zaman'!AE9&lt;=Girdiler!$C$68,'Zaman'!AE14&gt;Girdiler!$C$69*Girdiler!$C$18),1,0)</f>
        <v/>
      </c>
      <c r="AF15" s="23">
        <f>IF(AND(Girdiler!$C$91=1,'Zaman'!AF9&gt;=1,'Zaman'!AF9&lt;=Girdiler!$C$68,'Zaman'!AF14&gt;Girdiler!$C$69*Girdiler!$C$18),1,0)</f>
        <v/>
      </c>
      <c r="AG15" s="23">
        <f>IF(AND(Girdiler!$C$91=1,'Zaman'!AG9&gt;=1,'Zaman'!AG9&lt;=Girdiler!$C$68,'Zaman'!AG14&gt;Girdiler!$C$69*Girdiler!$C$18),1,0)</f>
        <v/>
      </c>
      <c r="AH15" s="23">
        <f>IF(AND(Girdiler!$C$91=1,'Zaman'!AH9&gt;=1,'Zaman'!AH9&lt;=Girdiler!$C$68,'Zaman'!AH14&gt;Girdiler!$C$69*Girdiler!$C$18),1,0)</f>
        <v/>
      </c>
      <c r="AI15" s="23">
        <f>IF(AND(Girdiler!$C$91=1,'Zaman'!AI9&gt;=1,'Zaman'!AI9&lt;=Girdiler!$C$68,'Zaman'!AI14&gt;Girdiler!$C$69*Girdiler!$C$18),1,0)</f>
        <v/>
      </c>
      <c r="AJ15" s="23">
        <f>IF(AND(Girdiler!$C$91=1,'Zaman'!AJ9&gt;=1,'Zaman'!AJ9&lt;=Girdiler!$C$68,'Zaman'!AJ14&gt;Girdiler!$C$69*Girdiler!$C$18),1,0)</f>
        <v/>
      </c>
      <c r="AK15" s="23">
        <f>IF(AND(Girdiler!$C$91=1,'Zaman'!AK9&gt;=1,'Zaman'!AK9&lt;=Girdiler!$C$68,'Zaman'!AK14&gt;Girdiler!$C$69*Girdiler!$C$18),1,0)</f>
        <v/>
      </c>
      <c r="AL15" s="23">
        <f>IF(AND(Girdiler!$C$91=1,'Zaman'!AL9&gt;=1,'Zaman'!AL9&lt;=Girdiler!$C$68,'Zaman'!AL14&gt;Girdiler!$C$69*Girdiler!$C$18),1,0)</f>
        <v/>
      </c>
      <c r="AM15" s="23">
        <f>IF(AND(Girdiler!$C$91=1,'Zaman'!AM9&gt;=1,'Zaman'!AM9&lt;=Girdiler!$C$68,'Zaman'!AM14&gt;Girdiler!$C$69*Girdiler!$C$18),1,0)</f>
        <v/>
      </c>
      <c r="AN15" s="23">
        <f>IF(AND(Girdiler!$C$91=1,'Zaman'!AN9&gt;=1,'Zaman'!AN9&lt;=Girdiler!$C$68,'Zaman'!AN14&gt;Girdiler!$C$69*Girdiler!$C$18),1,0)</f>
        <v/>
      </c>
      <c r="AO15" s="23">
        <f>IF(AND(Girdiler!$C$91=1,'Zaman'!AO9&gt;=1,'Zaman'!AO9&lt;=Girdiler!$C$68,'Zaman'!AO14&gt;Girdiler!$C$69*Girdiler!$C$18),1,0)</f>
        <v/>
      </c>
      <c r="AP15" s="23">
        <f>IF(AND(Girdiler!$C$91=1,'Zaman'!AP9&gt;=1,'Zaman'!AP9&lt;=Girdiler!$C$68,'Zaman'!AP14&gt;Girdiler!$C$69*Girdiler!$C$18),1,0)</f>
        <v/>
      </c>
      <c r="AQ15" s="23">
        <f>IF(AND(Girdiler!$C$91=1,'Zaman'!AQ9&gt;=1,'Zaman'!AQ9&lt;=Girdiler!$C$68,'Zaman'!AQ14&gt;Girdiler!$C$69*Girdiler!$C$18),1,0)</f>
        <v/>
      </c>
      <c r="AR15" s="23">
        <f>IF(AND(Girdiler!$C$91=1,'Zaman'!AR9&gt;=1,'Zaman'!AR9&lt;=Girdiler!$C$68,'Zaman'!AR14&gt;Girdiler!$C$69*Girdiler!$C$18),1,0)</f>
        <v/>
      </c>
    </row>
    <row r="16">
      <c r="A16" t="inlineStr">
        <is>
          <t>Sözleşmeli pay φ</t>
        </is>
      </c>
      <c r="B16" t="inlineStr"/>
      <c r="C16" t="inlineStr"/>
      <c r="E16" s="25" t="n">
        <v>0</v>
      </c>
      <c r="F16" s="25">
        <f>IF(Girdiler!$C$19=2,IF(AND('Zaman'!F9&gt;=1,'Zaman'!F9&lt;=Girdiler!$C$65),Girdiler!$C$64,0),'Zaman'!F15)</f>
        <v/>
      </c>
      <c r="G16" s="25">
        <f>IF(Girdiler!$C$19=2,IF(AND('Zaman'!G9&gt;=1,'Zaman'!G9&lt;=Girdiler!$C$65),Girdiler!$C$64,0),'Zaman'!G15)</f>
        <v/>
      </c>
      <c r="H16" s="25">
        <f>IF(Girdiler!$C$19=2,IF(AND('Zaman'!H9&gt;=1,'Zaman'!H9&lt;=Girdiler!$C$65),Girdiler!$C$64,0),'Zaman'!H15)</f>
        <v/>
      </c>
      <c r="I16" s="25">
        <f>IF(Girdiler!$C$19=2,IF(AND('Zaman'!I9&gt;=1,'Zaman'!I9&lt;=Girdiler!$C$65),Girdiler!$C$64,0),'Zaman'!I15)</f>
        <v/>
      </c>
      <c r="J16" s="25">
        <f>IF(Girdiler!$C$19=2,IF(AND('Zaman'!J9&gt;=1,'Zaman'!J9&lt;=Girdiler!$C$65),Girdiler!$C$64,0),'Zaman'!J15)</f>
        <v/>
      </c>
      <c r="K16" s="25">
        <f>IF(Girdiler!$C$19=2,IF(AND('Zaman'!K9&gt;=1,'Zaman'!K9&lt;=Girdiler!$C$65),Girdiler!$C$64,0),'Zaman'!K15)</f>
        <v/>
      </c>
      <c r="L16" s="25">
        <f>IF(Girdiler!$C$19=2,IF(AND('Zaman'!L9&gt;=1,'Zaman'!L9&lt;=Girdiler!$C$65),Girdiler!$C$64,0),'Zaman'!L15)</f>
        <v/>
      </c>
      <c r="M16" s="25">
        <f>IF(Girdiler!$C$19=2,IF(AND('Zaman'!M9&gt;=1,'Zaman'!M9&lt;=Girdiler!$C$65),Girdiler!$C$64,0),'Zaman'!M15)</f>
        <v/>
      </c>
      <c r="N16" s="25">
        <f>IF(Girdiler!$C$19=2,IF(AND('Zaman'!N9&gt;=1,'Zaman'!N9&lt;=Girdiler!$C$65),Girdiler!$C$64,0),'Zaman'!N15)</f>
        <v/>
      </c>
      <c r="O16" s="25">
        <f>IF(Girdiler!$C$19=2,IF(AND('Zaman'!O9&gt;=1,'Zaman'!O9&lt;=Girdiler!$C$65),Girdiler!$C$64,0),'Zaman'!O15)</f>
        <v/>
      </c>
      <c r="P16" s="25">
        <f>IF(Girdiler!$C$19=2,IF(AND('Zaman'!P9&gt;=1,'Zaman'!P9&lt;=Girdiler!$C$65),Girdiler!$C$64,0),'Zaman'!P15)</f>
        <v/>
      </c>
      <c r="Q16" s="25">
        <f>IF(Girdiler!$C$19=2,IF(AND('Zaman'!Q9&gt;=1,'Zaman'!Q9&lt;=Girdiler!$C$65),Girdiler!$C$64,0),'Zaman'!Q15)</f>
        <v/>
      </c>
      <c r="R16" s="25">
        <f>IF(Girdiler!$C$19=2,IF(AND('Zaman'!R9&gt;=1,'Zaman'!R9&lt;=Girdiler!$C$65),Girdiler!$C$64,0),'Zaman'!R15)</f>
        <v/>
      </c>
      <c r="S16" s="25">
        <f>IF(Girdiler!$C$19=2,IF(AND('Zaman'!S9&gt;=1,'Zaman'!S9&lt;=Girdiler!$C$65),Girdiler!$C$64,0),'Zaman'!S15)</f>
        <v/>
      </c>
      <c r="T16" s="25">
        <f>IF(Girdiler!$C$19=2,IF(AND('Zaman'!T9&gt;=1,'Zaman'!T9&lt;=Girdiler!$C$65),Girdiler!$C$64,0),'Zaman'!T15)</f>
        <v/>
      </c>
      <c r="U16" s="25">
        <f>IF(Girdiler!$C$19=2,IF(AND('Zaman'!U9&gt;=1,'Zaman'!U9&lt;=Girdiler!$C$65),Girdiler!$C$64,0),'Zaman'!U15)</f>
        <v/>
      </c>
      <c r="V16" s="25">
        <f>IF(Girdiler!$C$19=2,IF(AND('Zaman'!V9&gt;=1,'Zaman'!V9&lt;=Girdiler!$C$65),Girdiler!$C$64,0),'Zaman'!V15)</f>
        <v/>
      </c>
      <c r="W16" s="25">
        <f>IF(Girdiler!$C$19=2,IF(AND('Zaman'!W9&gt;=1,'Zaman'!W9&lt;=Girdiler!$C$65),Girdiler!$C$64,0),'Zaman'!W15)</f>
        <v/>
      </c>
      <c r="X16" s="25">
        <f>IF(Girdiler!$C$19=2,IF(AND('Zaman'!X9&gt;=1,'Zaman'!X9&lt;=Girdiler!$C$65),Girdiler!$C$64,0),'Zaman'!X15)</f>
        <v/>
      </c>
      <c r="Y16" s="25">
        <f>IF(Girdiler!$C$19=2,IF(AND('Zaman'!Y9&gt;=1,'Zaman'!Y9&lt;=Girdiler!$C$65),Girdiler!$C$64,0),'Zaman'!Y15)</f>
        <v/>
      </c>
      <c r="Z16" s="25">
        <f>IF(Girdiler!$C$19=2,IF(AND('Zaman'!Z9&gt;=1,'Zaman'!Z9&lt;=Girdiler!$C$65),Girdiler!$C$64,0),'Zaman'!Z15)</f>
        <v/>
      </c>
      <c r="AA16" s="25">
        <f>IF(Girdiler!$C$19=2,IF(AND('Zaman'!AA9&gt;=1,'Zaman'!AA9&lt;=Girdiler!$C$65),Girdiler!$C$64,0),'Zaman'!AA15)</f>
        <v/>
      </c>
      <c r="AB16" s="25">
        <f>IF(Girdiler!$C$19=2,IF(AND('Zaman'!AB9&gt;=1,'Zaman'!AB9&lt;=Girdiler!$C$65),Girdiler!$C$64,0),'Zaman'!AB15)</f>
        <v/>
      </c>
      <c r="AC16" s="25">
        <f>IF(Girdiler!$C$19=2,IF(AND('Zaman'!AC9&gt;=1,'Zaman'!AC9&lt;=Girdiler!$C$65),Girdiler!$C$64,0),'Zaman'!AC15)</f>
        <v/>
      </c>
      <c r="AD16" s="25">
        <f>IF(Girdiler!$C$19=2,IF(AND('Zaman'!AD9&gt;=1,'Zaman'!AD9&lt;=Girdiler!$C$65),Girdiler!$C$64,0),'Zaman'!AD15)</f>
        <v/>
      </c>
      <c r="AE16" s="25">
        <f>IF(Girdiler!$C$19=2,IF(AND('Zaman'!AE9&gt;=1,'Zaman'!AE9&lt;=Girdiler!$C$65),Girdiler!$C$64,0),'Zaman'!AE15)</f>
        <v/>
      </c>
      <c r="AF16" s="25">
        <f>IF(Girdiler!$C$19=2,IF(AND('Zaman'!AF9&gt;=1,'Zaman'!AF9&lt;=Girdiler!$C$65),Girdiler!$C$64,0),'Zaman'!AF15)</f>
        <v/>
      </c>
      <c r="AG16" s="25">
        <f>IF(Girdiler!$C$19=2,IF(AND('Zaman'!AG9&gt;=1,'Zaman'!AG9&lt;=Girdiler!$C$65),Girdiler!$C$64,0),'Zaman'!AG15)</f>
        <v/>
      </c>
      <c r="AH16" s="25">
        <f>IF(Girdiler!$C$19=2,IF(AND('Zaman'!AH9&gt;=1,'Zaman'!AH9&lt;=Girdiler!$C$65),Girdiler!$C$64,0),'Zaman'!AH15)</f>
        <v/>
      </c>
      <c r="AI16" s="25">
        <f>IF(Girdiler!$C$19=2,IF(AND('Zaman'!AI9&gt;=1,'Zaman'!AI9&lt;=Girdiler!$C$65),Girdiler!$C$64,0),'Zaman'!AI15)</f>
        <v/>
      </c>
      <c r="AJ16" s="25">
        <f>IF(Girdiler!$C$19=2,IF(AND('Zaman'!AJ9&gt;=1,'Zaman'!AJ9&lt;=Girdiler!$C$65),Girdiler!$C$64,0),'Zaman'!AJ15)</f>
        <v/>
      </c>
      <c r="AK16" s="25">
        <f>IF(Girdiler!$C$19=2,IF(AND('Zaman'!AK9&gt;=1,'Zaman'!AK9&lt;=Girdiler!$C$65),Girdiler!$C$64,0),'Zaman'!AK15)</f>
        <v/>
      </c>
      <c r="AL16" s="25">
        <f>IF(Girdiler!$C$19=2,IF(AND('Zaman'!AL9&gt;=1,'Zaman'!AL9&lt;=Girdiler!$C$65),Girdiler!$C$64,0),'Zaman'!AL15)</f>
        <v/>
      </c>
      <c r="AM16" s="25">
        <f>IF(Girdiler!$C$19=2,IF(AND('Zaman'!AM9&gt;=1,'Zaman'!AM9&lt;=Girdiler!$C$65),Girdiler!$C$64,0),'Zaman'!AM15)</f>
        <v/>
      </c>
      <c r="AN16" s="25">
        <f>IF(Girdiler!$C$19=2,IF(AND('Zaman'!AN9&gt;=1,'Zaman'!AN9&lt;=Girdiler!$C$65),Girdiler!$C$64,0),'Zaman'!AN15)</f>
        <v/>
      </c>
      <c r="AO16" s="25">
        <f>IF(Girdiler!$C$19=2,IF(AND('Zaman'!AO9&gt;=1,'Zaman'!AO9&lt;=Girdiler!$C$65),Girdiler!$C$64,0),'Zaman'!AO15)</f>
        <v/>
      </c>
      <c r="AP16" s="25">
        <f>IF(Girdiler!$C$19=2,IF(AND('Zaman'!AP9&gt;=1,'Zaman'!AP9&lt;=Girdiler!$C$65),Girdiler!$C$64,0),'Zaman'!AP15)</f>
        <v/>
      </c>
      <c r="AQ16" s="25">
        <f>IF(Girdiler!$C$19=2,IF(AND('Zaman'!AQ9&gt;=1,'Zaman'!AQ9&lt;=Girdiler!$C$65),Girdiler!$C$64,0),'Zaman'!AQ15)</f>
        <v/>
      </c>
      <c r="AR16" s="25">
        <f>IF(Girdiler!$C$19=2,IF(AND('Zaman'!AR9&gt;=1,'Zaman'!AR9&lt;=Girdiler!$C$65),Girdiler!$C$64,0),'Zaman'!AR15)</f>
        <v/>
      </c>
    </row>
    <row r="17">
      <c r="A17" t="inlineStr">
        <is>
          <t>Sözleşmeli fiyat (PPA / YEKDEM)</t>
        </is>
      </c>
      <c r="B17" t="inlineStr">
        <is>
          <t>USD/MWh</t>
        </is>
      </c>
      <c r="C17" t="inlineStr"/>
      <c r="E17" s="24" t="n">
        <v>0</v>
      </c>
      <c r="F17" s="24">
        <f>IF(Girdiler!$C$19=2,Girdiler!$C$66,'Zaman'!F14)</f>
        <v/>
      </c>
      <c r="G17" s="24">
        <f>IF(Girdiler!$C$19=2,Girdiler!$C$66,'Zaman'!G14)</f>
        <v/>
      </c>
      <c r="H17" s="24">
        <f>IF(Girdiler!$C$19=2,Girdiler!$C$66,'Zaman'!H14)</f>
        <v/>
      </c>
      <c r="I17" s="24">
        <f>IF(Girdiler!$C$19=2,Girdiler!$C$66,'Zaman'!I14)</f>
        <v/>
      </c>
      <c r="J17" s="24">
        <f>IF(Girdiler!$C$19=2,Girdiler!$C$66,'Zaman'!J14)</f>
        <v/>
      </c>
      <c r="K17" s="24">
        <f>IF(Girdiler!$C$19=2,Girdiler!$C$66,'Zaman'!K14)</f>
        <v/>
      </c>
      <c r="L17" s="24">
        <f>IF(Girdiler!$C$19=2,Girdiler!$C$66,'Zaman'!L14)</f>
        <v/>
      </c>
      <c r="M17" s="24">
        <f>IF(Girdiler!$C$19=2,Girdiler!$C$66,'Zaman'!M14)</f>
        <v/>
      </c>
      <c r="N17" s="24">
        <f>IF(Girdiler!$C$19=2,Girdiler!$C$66,'Zaman'!N14)</f>
        <v/>
      </c>
      <c r="O17" s="24">
        <f>IF(Girdiler!$C$19=2,Girdiler!$C$66,'Zaman'!O14)</f>
        <v/>
      </c>
      <c r="P17" s="24">
        <f>IF(Girdiler!$C$19=2,Girdiler!$C$66,'Zaman'!P14)</f>
        <v/>
      </c>
      <c r="Q17" s="24">
        <f>IF(Girdiler!$C$19=2,Girdiler!$C$66,'Zaman'!Q14)</f>
        <v/>
      </c>
      <c r="R17" s="24">
        <f>IF(Girdiler!$C$19=2,Girdiler!$C$66,'Zaman'!R14)</f>
        <v/>
      </c>
      <c r="S17" s="24">
        <f>IF(Girdiler!$C$19=2,Girdiler!$C$66,'Zaman'!S14)</f>
        <v/>
      </c>
      <c r="T17" s="24">
        <f>IF(Girdiler!$C$19=2,Girdiler!$C$66,'Zaman'!T14)</f>
        <v/>
      </c>
      <c r="U17" s="24">
        <f>IF(Girdiler!$C$19=2,Girdiler!$C$66,'Zaman'!U14)</f>
        <v/>
      </c>
      <c r="V17" s="24">
        <f>IF(Girdiler!$C$19=2,Girdiler!$C$66,'Zaman'!V14)</f>
        <v/>
      </c>
      <c r="W17" s="24">
        <f>IF(Girdiler!$C$19=2,Girdiler!$C$66,'Zaman'!W14)</f>
        <v/>
      </c>
      <c r="X17" s="24">
        <f>IF(Girdiler!$C$19=2,Girdiler!$C$66,'Zaman'!X14)</f>
        <v/>
      </c>
      <c r="Y17" s="24">
        <f>IF(Girdiler!$C$19=2,Girdiler!$C$66,'Zaman'!Y14)</f>
        <v/>
      </c>
      <c r="Z17" s="24">
        <f>IF(Girdiler!$C$19=2,Girdiler!$C$66,'Zaman'!Z14)</f>
        <v/>
      </c>
      <c r="AA17" s="24">
        <f>IF(Girdiler!$C$19=2,Girdiler!$C$66,'Zaman'!AA14)</f>
        <v/>
      </c>
      <c r="AB17" s="24">
        <f>IF(Girdiler!$C$19=2,Girdiler!$C$66,'Zaman'!AB14)</f>
        <v/>
      </c>
      <c r="AC17" s="24">
        <f>IF(Girdiler!$C$19=2,Girdiler!$C$66,'Zaman'!AC14)</f>
        <v/>
      </c>
      <c r="AD17" s="24">
        <f>IF(Girdiler!$C$19=2,Girdiler!$C$66,'Zaman'!AD14)</f>
        <v/>
      </c>
      <c r="AE17" s="24">
        <f>IF(Girdiler!$C$19=2,Girdiler!$C$66,'Zaman'!AE14)</f>
        <v/>
      </c>
      <c r="AF17" s="24">
        <f>IF(Girdiler!$C$19=2,Girdiler!$C$66,'Zaman'!AF14)</f>
        <v/>
      </c>
      <c r="AG17" s="24">
        <f>IF(Girdiler!$C$19=2,Girdiler!$C$66,'Zaman'!AG14)</f>
        <v/>
      </c>
      <c r="AH17" s="24">
        <f>IF(Girdiler!$C$19=2,Girdiler!$C$66,'Zaman'!AH14)</f>
        <v/>
      </c>
      <c r="AI17" s="24">
        <f>IF(Girdiler!$C$19=2,Girdiler!$C$66,'Zaman'!AI14)</f>
        <v/>
      </c>
      <c r="AJ17" s="24">
        <f>IF(Girdiler!$C$19=2,Girdiler!$C$66,'Zaman'!AJ14)</f>
        <v/>
      </c>
      <c r="AK17" s="24">
        <f>IF(Girdiler!$C$19=2,Girdiler!$C$66,'Zaman'!AK14)</f>
        <v/>
      </c>
      <c r="AL17" s="24">
        <f>IF(Girdiler!$C$19=2,Girdiler!$C$66,'Zaman'!AL14)</f>
        <v/>
      </c>
      <c r="AM17" s="24">
        <f>IF(Girdiler!$C$19=2,Girdiler!$C$66,'Zaman'!AM14)</f>
        <v/>
      </c>
      <c r="AN17" s="24">
        <f>IF(Girdiler!$C$19=2,Girdiler!$C$66,'Zaman'!AN14)</f>
        <v/>
      </c>
      <c r="AO17" s="24">
        <f>IF(Girdiler!$C$19=2,Girdiler!$C$66,'Zaman'!AO14)</f>
        <v/>
      </c>
      <c r="AP17" s="24">
        <f>IF(Girdiler!$C$19=2,Girdiler!$C$66,'Zaman'!AP14)</f>
        <v/>
      </c>
      <c r="AQ17" s="24">
        <f>IF(Girdiler!$C$19=2,Girdiler!$C$66,'Zaman'!AQ14)</f>
        <v/>
      </c>
      <c r="AR17" s="24">
        <f>IF(Girdiler!$C$19=2,Girdiler!$C$66,'Zaman'!AR14)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3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40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9" t="inlineStr">
        <is>
          <t>Üretim ve sistem kesintisi</t>
        </is>
      </c>
    </row>
    <row r="2"/>
    <row r="3"/>
    <row r="4">
      <c r="A4" s="8" t="inlineStr">
        <is>
          <t>Kalem</t>
        </is>
      </c>
      <c r="B4" s="8" t="inlineStr">
        <is>
          <t>Birim</t>
        </is>
      </c>
      <c r="C4" s="8" t="inlineStr">
        <is>
          <t>Not / kaynak</t>
        </is>
      </c>
      <c r="D4" s="8" t="inlineStr">
        <is>
          <t>Toplam / değer</t>
        </is>
      </c>
      <c r="E4" s="8" t="inlineStr">
        <is>
          <t>t0 (bugün)</t>
        </is>
      </c>
      <c r="F4" s="8" t="n">
        <v>2026</v>
      </c>
      <c r="G4" s="8" t="n">
        <v>2027</v>
      </c>
      <c r="H4" s="8" t="n">
        <v>2028</v>
      </c>
      <c r="I4" s="8" t="n">
        <v>2029</v>
      </c>
      <c r="J4" s="8" t="n">
        <v>2030</v>
      </c>
      <c r="K4" s="8" t="n">
        <v>2031</v>
      </c>
      <c r="L4" s="8" t="n">
        <v>2032</v>
      </c>
      <c r="M4" s="8" t="n">
        <v>2033</v>
      </c>
      <c r="N4" s="8" t="n">
        <v>2034</v>
      </c>
      <c r="O4" s="8" t="n">
        <v>2035</v>
      </c>
      <c r="P4" s="8" t="n">
        <v>2036</v>
      </c>
      <c r="Q4" s="8" t="n">
        <v>2037</v>
      </c>
      <c r="R4" s="8" t="n">
        <v>2038</v>
      </c>
      <c r="S4" s="8" t="n">
        <v>2039</v>
      </c>
      <c r="T4" s="8" t="n">
        <v>2040</v>
      </c>
      <c r="U4" s="8" t="n">
        <v>2041</v>
      </c>
      <c r="V4" s="8" t="n">
        <v>2042</v>
      </c>
      <c r="W4" s="8" t="n">
        <v>2043</v>
      </c>
      <c r="X4" s="8" t="n">
        <v>2044</v>
      </c>
      <c r="Y4" s="8" t="n">
        <v>2045</v>
      </c>
      <c r="Z4" s="8" t="n">
        <v>2046</v>
      </c>
      <c r="AA4" s="8" t="n">
        <v>2047</v>
      </c>
      <c r="AB4" s="8" t="n">
        <v>2048</v>
      </c>
      <c r="AC4" s="8" t="n">
        <v>2049</v>
      </c>
      <c r="AD4" s="8" t="n">
        <v>2050</v>
      </c>
      <c r="AE4" s="8" t="n">
        <v>2051</v>
      </c>
      <c r="AF4" s="8" t="n">
        <v>2052</v>
      </c>
      <c r="AG4" s="8" t="n">
        <v>2053</v>
      </c>
      <c r="AH4" s="8" t="n">
        <v>2054</v>
      </c>
      <c r="AI4" s="8" t="n">
        <v>2055</v>
      </c>
      <c r="AJ4" s="8" t="n">
        <v>2056</v>
      </c>
      <c r="AK4" s="8" t="n">
        <v>2057</v>
      </c>
      <c r="AL4" s="8" t="n">
        <v>2058</v>
      </c>
      <c r="AM4" s="8" t="n">
        <v>2059</v>
      </c>
      <c r="AN4" s="8" t="n">
        <v>2060</v>
      </c>
      <c r="AO4" s="8" t="n">
        <v>2061</v>
      </c>
      <c r="AP4" s="8" t="n">
        <v>2062</v>
      </c>
      <c r="AQ4" s="8" t="n">
        <v>2063</v>
      </c>
      <c r="AR4" s="8" t="n">
        <v>2064</v>
      </c>
    </row>
    <row r="5"/>
    <row r="6"/>
    <row r="7">
      <c r="A7" s="26" t="inlineStr">
        <is>
          <t>— Blok: seçilen üretim durumu —</t>
        </is>
      </c>
    </row>
    <row r="8">
      <c r="A8" t="inlineStr">
        <is>
          <t>gelir_res_q</t>
        </is>
      </c>
      <c r="B8" t="inlineStr">
        <is>
          <t>birim</t>
        </is>
      </c>
      <c r="C8" t="inlineStr">
        <is>
          <t>Python_girdileri (rejim: katılıma göre Y1/Y0, aksi T)</t>
        </is>
      </c>
      <c r="D8" s="18">
        <f>SUM(F8:AR8)</f>
        <v/>
      </c>
      <c r="E8" s="18" t="n">
        <v>0</v>
      </c>
      <c r="F8" s="18">
        <f>IF('Zaman'!F13=1,IF(Girdiler!$C$91=1,IF('Zaman'!F15=1,IF(Girdiler!$C$8="P90",INDEX(Python_girdileri!$AS$6:$AS$35,'Zaman'!F9),INDEX(Python_girdileri!$AK$6:$AK$35,'Zaman'!F9)),IF(Girdiler!$C$8="P90",INDEX(Python_girdileri!$AC$6:$AC$35,'Zaman'!F9),INDEX(Python_girdileri!$U$6:$U$35,'Zaman'!F9))),IF(Girdiler!$C$8="P90",INDEX(Python_girdileri!$M$6:$M$35,'Zaman'!F9),INDEX(Python_girdileri!$E$6:$E$35,'Zaman'!F9))),0)</f>
        <v/>
      </c>
      <c r="G8" s="18">
        <f>IF('Zaman'!G13=1,IF(Girdiler!$C$91=1,IF('Zaman'!G15=1,IF(Girdiler!$C$8="P90",INDEX(Python_girdileri!$AS$6:$AS$35,'Zaman'!G9),INDEX(Python_girdileri!$AK$6:$AK$35,'Zaman'!G9)),IF(Girdiler!$C$8="P90",INDEX(Python_girdileri!$AC$6:$AC$35,'Zaman'!G9),INDEX(Python_girdileri!$U$6:$U$35,'Zaman'!G9))),IF(Girdiler!$C$8="P90",INDEX(Python_girdileri!$M$6:$M$35,'Zaman'!G9),INDEX(Python_girdileri!$E$6:$E$35,'Zaman'!G9))),0)</f>
        <v/>
      </c>
      <c r="H8" s="18">
        <f>IF('Zaman'!H13=1,IF(Girdiler!$C$91=1,IF('Zaman'!H15=1,IF(Girdiler!$C$8="P90",INDEX(Python_girdileri!$AS$6:$AS$35,'Zaman'!H9),INDEX(Python_girdileri!$AK$6:$AK$35,'Zaman'!H9)),IF(Girdiler!$C$8="P90",INDEX(Python_girdileri!$AC$6:$AC$35,'Zaman'!H9),INDEX(Python_girdileri!$U$6:$U$35,'Zaman'!H9))),IF(Girdiler!$C$8="P90",INDEX(Python_girdileri!$M$6:$M$35,'Zaman'!H9),INDEX(Python_girdileri!$E$6:$E$35,'Zaman'!H9))),0)</f>
        <v/>
      </c>
      <c r="I8" s="18">
        <f>IF('Zaman'!I13=1,IF(Girdiler!$C$91=1,IF('Zaman'!I15=1,IF(Girdiler!$C$8="P90",INDEX(Python_girdileri!$AS$6:$AS$35,'Zaman'!I9),INDEX(Python_girdileri!$AK$6:$AK$35,'Zaman'!I9)),IF(Girdiler!$C$8="P90",INDEX(Python_girdileri!$AC$6:$AC$35,'Zaman'!I9),INDEX(Python_girdileri!$U$6:$U$35,'Zaman'!I9))),IF(Girdiler!$C$8="P90",INDEX(Python_girdileri!$M$6:$M$35,'Zaman'!I9),INDEX(Python_girdileri!$E$6:$E$35,'Zaman'!I9))),0)</f>
        <v/>
      </c>
      <c r="J8" s="18">
        <f>IF('Zaman'!J13=1,IF(Girdiler!$C$91=1,IF('Zaman'!J15=1,IF(Girdiler!$C$8="P90",INDEX(Python_girdileri!$AS$6:$AS$35,'Zaman'!J9),INDEX(Python_girdileri!$AK$6:$AK$35,'Zaman'!J9)),IF(Girdiler!$C$8="P90",INDEX(Python_girdileri!$AC$6:$AC$35,'Zaman'!J9),INDEX(Python_girdileri!$U$6:$U$35,'Zaman'!J9))),IF(Girdiler!$C$8="P90",INDEX(Python_girdileri!$M$6:$M$35,'Zaman'!J9),INDEX(Python_girdileri!$E$6:$E$35,'Zaman'!J9))),0)</f>
        <v/>
      </c>
      <c r="K8" s="18">
        <f>IF('Zaman'!K13=1,IF(Girdiler!$C$91=1,IF('Zaman'!K15=1,IF(Girdiler!$C$8="P90",INDEX(Python_girdileri!$AS$6:$AS$35,'Zaman'!K9),INDEX(Python_girdileri!$AK$6:$AK$35,'Zaman'!K9)),IF(Girdiler!$C$8="P90",INDEX(Python_girdileri!$AC$6:$AC$35,'Zaman'!K9),INDEX(Python_girdileri!$U$6:$U$35,'Zaman'!K9))),IF(Girdiler!$C$8="P90",INDEX(Python_girdileri!$M$6:$M$35,'Zaman'!K9),INDEX(Python_girdileri!$E$6:$E$35,'Zaman'!K9))),0)</f>
        <v/>
      </c>
      <c r="L8" s="18">
        <f>IF('Zaman'!L13=1,IF(Girdiler!$C$91=1,IF('Zaman'!L15=1,IF(Girdiler!$C$8="P90",INDEX(Python_girdileri!$AS$6:$AS$35,'Zaman'!L9),INDEX(Python_girdileri!$AK$6:$AK$35,'Zaman'!L9)),IF(Girdiler!$C$8="P90",INDEX(Python_girdileri!$AC$6:$AC$35,'Zaman'!L9),INDEX(Python_girdileri!$U$6:$U$35,'Zaman'!L9))),IF(Girdiler!$C$8="P90",INDEX(Python_girdileri!$M$6:$M$35,'Zaman'!L9),INDEX(Python_girdileri!$E$6:$E$35,'Zaman'!L9))),0)</f>
        <v/>
      </c>
      <c r="M8" s="18">
        <f>IF('Zaman'!M13=1,IF(Girdiler!$C$91=1,IF('Zaman'!M15=1,IF(Girdiler!$C$8="P90",INDEX(Python_girdileri!$AS$6:$AS$35,'Zaman'!M9),INDEX(Python_girdileri!$AK$6:$AK$35,'Zaman'!M9)),IF(Girdiler!$C$8="P90",INDEX(Python_girdileri!$AC$6:$AC$35,'Zaman'!M9),INDEX(Python_girdileri!$U$6:$U$35,'Zaman'!M9))),IF(Girdiler!$C$8="P90",INDEX(Python_girdileri!$M$6:$M$35,'Zaman'!M9),INDEX(Python_girdileri!$E$6:$E$35,'Zaman'!M9))),0)</f>
        <v/>
      </c>
      <c r="N8" s="18">
        <f>IF('Zaman'!N13=1,IF(Girdiler!$C$91=1,IF('Zaman'!N15=1,IF(Girdiler!$C$8="P90",INDEX(Python_girdileri!$AS$6:$AS$35,'Zaman'!N9),INDEX(Python_girdileri!$AK$6:$AK$35,'Zaman'!N9)),IF(Girdiler!$C$8="P90",INDEX(Python_girdileri!$AC$6:$AC$35,'Zaman'!N9),INDEX(Python_girdileri!$U$6:$U$35,'Zaman'!N9))),IF(Girdiler!$C$8="P90",INDEX(Python_girdileri!$M$6:$M$35,'Zaman'!N9),INDEX(Python_girdileri!$E$6:$E$35,'Zaman'!N9))),0)</f>
        <v/>
      </c>
      <c r="O8" s="18">
        <f>IF('Zaman'!O13=1,IF(Girdiler!$C$91=1,IF('Zaman'!O15=1,IF(Girdiler!$C$8="P90",INDEX(Python_girdileri!$AS$6:$AS$35,'Zaman'!O9),INDEX(Python_girdileri!$AK$6:$AK$35,'Zaman'!O9)),IF(Girdiler!$C$8="P90",INDEX(Python_girdileri!$AC$6:$AC$35,'Zaman'!O9),INDEX(Python_girdileri!$U$6:$U$35,'Zaman'!O9))),IF(Girdiler!$C$8="P90",INDEX(Python_girdileri!$M$6:$M$35,'Zaman'!O9),INDEX(Python_girdileri!$E$6:$E$35,'Zaman'!O9))),0)</f>
        <v/>
      </c>
      <c r="P8" s="18">
        <f>IF('Zaman'!P13=1,IF(Girdiler!$C$91=1,IF('Zaman'!P15=1,IF(Girdiler!$C$8="P90",INDEX(Python_girdileri!$AS$6:$AS$35,'Zaman'!P9),INDEX(Python_girdileri!$AK$6:$AK$35,'Zaman'!P9)),IF(Girdiler!$C$8="P90",INDEX(Python_girdileri!$AC$6:$AC$35,'Zaman'!P9),INDEX(Python_girdileri!$U$6:$U$35,'Zaman'!P9))),IF(Girdiler!$C$8="P90",INDEX(Python_girdileri!$M$6:$M$35,'Zaman'!P9),INDEX(Python_girdileri!$E$6:$E$35,'Zaman'!P9))),0)</f>
        <v/>
      </c>
      <c r="Q8" s="18">
        <f>IF('Zaman'!Q13=1,IF(Girdiler!$C$91=1,IF('Zaman'!Q15=1,IF(Girdiler!$C$8="P90",INDEX(Python_girdileri!$AS$6:$AS$35,'Zaman'!Q9),INDEX(Python_girdileri!$AK$6:$AK$35,'Zaman'!Q9)),IF(Girdiler!$C$8="P90",INDEX(Python_girdileri!$AC$6:$AC$35,'Zaman'!Q9),INDEX(Python_girdileri!$U$6:$U$35,'Zaman'!Q9))),IF(Girdiler!$C$8="P90",INDEX(Python_girdileri!$M$6:$M$35,'Zaman'!Q9),INDEX(Python_girdileri!$E$6:$E$35,'Zaman'!Q9))),0)</f>
        <v/>
      </c>
      <c r="R8" s="18">
        <f>IF('Zaman'!R13=1,IF(Girdiler!$C$91=1,IF('Zaman'!R15=1,IF(Girdiler!$C$8="P90",INDEX(Python_girdileri!$AS$6:$AS$35,'Zaman'!R9),INDEX(Python_girdileri!$AK$6:$AK$35,'Zaman'!R9)),IF(Girdiler!$C$8="P90",INDEX(Python_girdileri!$AC$6:$AC$35,'Zaman'!R9),INDEX(Python_girdileri!$U$6:$U$35,'Zaman'!R9))),IF(Girdiler!$C$8="P90",INDEX(Python_girdileri!$M$6:$M$35,'Zaman'!R9),INDEX(Python_girdileri!$E$6:$E$35,'Zaman'!R9))),0)</f>
        <v/>
      </c>
      <c r="S8" s="18">
        <f>IF('Zaman'!S13=1,IF(Girdiler!$C$91=1,IF('Zaman'!S15=1,IF(Girdiler!$C$8="P90",INDEX(Python_girdileri!$AS$6:$AS$35,'Zaman'!S9),INDEX(Python_girdileri!$AK$6:$AK$35,'Zaman'!S9)),IF(Girdiler!$C$8="P90",INDEX(Python_girdileri!$AC$6:$AC$35,'Zaman'!S9),INDEX(Python_girdileri!$U$6:$U$35,'Zaman'!S9))),IF(Girdiler!$C$8="P90",INDEX(Python_girdileri!$M$6:$M$35,'Zaman'!S9),INDEX(Python_girdileri!$E$6:$E$35,'Zaman'!S9))),0)</f>
        <v/>
      </c>
      <c r="T8" s="18">
        <f>IF('Zaman'!T13=1,IF(Girdiler!$C$91=1,IF('Zaman'!T15=1,IF(Girdiler!$C$8="P90",INDEX(Python_girdileri!$AS$6:$AS$35,'Zaman'!T9),INDEX(Python_girdileri!$AK$6:$AK$35,'Zaman'!T9)),IF(Girdiler!$C$8="P90",INDEX(Python_girdileri!$AC$6:$AC$35,'Zaman'!T9),INDEX(Python_girdileri!$U$6:$U$35,'Zaman'!T9))),IF(Girdiler!$C$8="P90",INDEX(Python_girdileri!$M$6:$M$35,'Zaman'!T9),INDEX(Python_girdileri!$E$6:$E$35,'Zaman'!T9))),0)</f>
        <v/>
      </c>
      <c r="U8" s="18">
        <f>IF('Zaman'!U13=1,IF(Girdiler!$C$91=1,IF('Zaman'!U15=1,IF(Girdiler!$C$8="P90",INDEX(Python_girdileri!$AS$6:$AS$35,'Zaman'!U9),INDEX(Python_girdileri!$AK$6:$AK$35,'Zaman'!U9)),IF(Girdiler!$C$8="P90",INDEX(Python_girdileri!$AC$6:$AC$35,'Zaman'!U9),INDEX(Python_girdileri!$U$6:$U$35,'Zaman'!U9))),IF(Girdiler!$C$8="P90",INDEX(Python_girdileri!$M$6:$M$35,'Zaman'!U9),INDEX(Python_girdileri!$E$6:$E$35,'Zaman'!U9))),0)</f>
        <v/>
      </c>
      <c r="V8" s="18">
        <f>IF('Zaman'!V13=1,IF(Girdiler!$C$91=1,IF('Zaman'!V15=1,IF(Girdiler!$C$8="P90",INDEX(Python_girdileri!$AS$6:$AS$35,'Zaman'!V9),INDEX(Python_girdileri!$AK$6:$AK$35,'Zaman'!V9)),IF(Girdiler!$C$8="P90",INDEX(Python_girdileri!$AC$6:$AC$35,'Zaman'!V9),INDEX(Python_girdileri!$U$6:$U$35,'Zaman'!V9))),IF(Girdiler!$C$8="P90",INDEX(Python_girdileri!$M$6:$M$35,'Zaman'!V9),INDEX(Python_girdileri!$E$6:$E$35,'Zaman'!V9))),0)</f>
        <v/>
      </c>
      <c r="W8" s="18">
        <f>IF('Zaman'!W13=1,IF(Girdiler!$C$91=1,IF('Zaman'!W15=1,IF(Girdiler!$C$8="P90",INDEX(Python_girdileri!$AS$6:$AS$35,'Zaman'!W9),INDEX(Python_girdileri!$AK$6:$AK$35,'Zaman'!W9)),IF(Girdiler!$C$8="P90",INDEX(Python_girdileri!$AC$6:$AC$35,'Zaman'!W9),INDEX(Python_girdileri!$U$6:$U$35,'Zaman'!W9))),IF(Girdiler!$C$8="P90",INDEX(Python_girdileri!$M$6:$M$35,'Zaman'!W9),INDEX(Python_girdileri!$E$6:$E$35,'Zaman'!W9))),0)</f>
        <v/>
      </c>
      <c r="X8" s="18">
        <f>IF('Zaman'!X13=1,IF(Girdiler!$C$91=1,IF('Zaman'!X15=1,IF(Girdiler!$C$8="P90",INDEX(Python_girdileri!$AS$6:$AS$35,'Zaman'!X9),INDEX(Python_girdileri!$AK$6:$AK$35,'Zaman'!X9)),IF(Girdiler!$C$8="P90",INDEX(Python_girdileri!$AC$6:$AC$35,'Zaman'!X9),INDEX(Python_girdileri!$U$6:$U$35,'Zaman'!X9))),IF(Girdiler!$C$8="P90",INDEX(Python_girdileri!$M$6:$M$35,'Zaman'!X9),INDEX(Python_girdileri!$E$6:$E$35,'Zaman'!X9))),0)</f>
        <v/>
      </c>
      <c r="Y8" s="18">
        <f>IF('Zaman'!Y13=1,IF(Girdiler!$C$91=1,IF('Zaman'!Y15=1,IF(Girdiler!$C$8="P90",INDEX(Python_girdileri!$AS$6:$AS$35,'Zaman'!Y9),INDEX(Python_girdileri!$AK$6:$AK$35,'Zaman'!Y9)),IF(Girdiler!$C$8="P90",INDEX(Python_girdileri!$AC$6:$AC$35,'Zaman'!Y9),INDEX(Python_girdileri!$U$6:$U$35,'Zaman'!Y9))),IF(Girdiler!$C$8="P90",INDEX(Python_girdileri!$M$6:$M$35,'Zaman'!Y9),INDEX(Python_girdileri!$E$6:$E$35,'Zaman'!Y9))),0)</f>
        <v/>
      </c>
      <c r="Z8" s="18">
        <f>IF('Zaman'!Z13=1,IF(Girdiler!$C$91=1,IF('Zaman'!Z15=1,IF(Girdiler!$C$8="P90",INDEX(Python_girdileri!$AS$6:$AS$35,'Zaman'!Z9),INDEX(Python_girdileri!$AK$6:$AK$35,'Zaman'!Z9)),IF(Girdiler!$C$8="P90",INDEX(Python_girdileri!$AC$6:$AC$35,'Zaman'!Z9),INDEX(Python_girdileri!$U$6:$U$35,'Zaman'!Z9))),IF(Girdiler!$C$8="P90",INDEX(Python_girdileri!$M$6:$M$35,'Zaman'!Z9),INDEX(Python_girdileri!$E$6:$E$35,'Zaman'!Z9))),0)</f>
        <v/>
      </c>
      <c r="AA8" s="18">
        <f>IF('Zaman'!AA13=1,IF(Girdiler!$C$91=1,IF('Zaman'!AA15=1,IF(Girdiler!$C$8="P90",INDEX(Python_girdileri!$AS$6:$AS$35,'Zaman'!AA9),INDEX(Python_girdileri!$AK$6:$AK$35,'Zaman'!AA9)),IF(Girdiler!$C$8="P90",INDEX(Python_girdileri!$AC$6:$AC$35,'Zaman'!AA9),INDEX(Python_girdileri!$U$6:$U$35,'Zaman'!AA9))),IF(Girdiler!$C$8="P90",INDEX(Python_girdileri!$M$6:$M$35,'Zaman'!AA9),INDEX(Python_girdileri!$E$6:$E$35,'Zaman'!AA9))),0)</f>
        <v/>
      </c>
      <c r="AB8" s="18">
        <f>IF('Zaman'!AB13=1,IF(Girdiler!$C$91=1,IF('Zaman'!AB15=1,IF(Girdiler!$C$8="P90",INDEX(Python_girdileri!$AS$6:$AS$35,'Zaman'!AB9),INDEX(Python_girdileri!$AK$6:$AK$35,'Zaman'!AB9)),IF(Girdiler!$C$8="P90",INDEX(Python_girdileri!$AC$6:$AC$35,'Zaman'!AB9),INDEX(Python_girdileri!$U$6:$U$35,'Zaman'!AB9))),IF(Girdiler!$C$8="P90",INDEX(Python_girdileri!$M$6:$M$35,'Zaman'!AB9),INDEX(Python_girdileri!$E$6:$E$35,'Zaman'!AB9))),0)</f>
        <v/>
      </c>
      <c r="AC8" s="18">
        <f>IF('Zaman'!AC13=1,IF(Girdiler!$C$91=1,IF('Zaman'!AC15=1,IF(Girdiler!$C$8="P90",INDEX(Python_girdileri!$AS$6:$AS$35,'Zaman'!AC9),INDEX(Python_girdileri!$AK$6:$AK$35,'Zaman'!AC9)),IF(Girdiler!$C$8="P90",INDEX(Python_girdileri!$AC$6:$AC$35,'Zaman'!AC9),INDEX(Python_girdileri!$U$6:$U$35,'Zaman'!AC9))),IF(Girdiler!$C$8="P90",INDEX(Python_girdileri!$M$6:$M$35,'Zaman'!AC9),INDEX(Python_girdileri!$E$6:$E$35,'Zaman'!AC9))),0)</f>
        <v/>
      </c>
      <c r="AD8" s="18">
        <f>IF('Zaman'!AD13=1,IF(Girdiler!$C$91=1,IF('Zaman'!AD15=1,IF(Girdiler!$C$8="P90",INDEX(Python_girdileri!$AS$6:$AS$35,'Zaman'!AD9),INDEX(Python_girdileri!$AK$6:$AK$35,'Zaman'!AD9)),IF(Girdiler!$C$8="P90",INDEX(Python_girdileri!$AC$6:$AC$35,'Zaman'!AD9),INDEX(Python_girdileri!$U$6:$U$35,'Zaman'!AD9))),IF(Girdiler!$C$8="P90",INDEX(Python_girdileri!$M$6:$M$35,'Zaman'!AD9),INDEX(Python_girdileri!$E$6:$E$35,'Zaman'!AD9))),0)</f>
        <v/>
      </c>
      <c r="AE8" s="18">
        <f>IF('Zaman'!AE13=1,IF(Girdiler!$C$91=1,IF('Zaman'!AE15=1,IF(Girdiler!$C$8="P90",INDEX(Python_girdileri!$AS$6:$AS$35,'Zaman'!AE9),INDEX(Python_girdileri!$AK$6:$AK$35,'Zaman'!AE9)),IF(Girdiler!$C$8="P90",INDEX(Python_girdileri!$AC$6:$AC$35,'Zaman'!AE9),INDEX(Python_girdileri!$U$6:$U$35,'Zaman'!AE9))),IF(Girdiler!$C$8="P90",INDEX(Python_girdileri!$M$6:$M$35,'Zaman'!AE9),INDEX(Python_girdileri!$E$6:$E$35,'Zaman'!AE9))),0)</f>
        <v/>
      </c>
      <c r="AF8" s="18">
        <f>IF('Zaman'!AF13=1,IF(Girdiler!$C$91=1,IF('Zaman'!AF15=1,IF(Girdiler!$C$8="P90",INDEX(Python_girdileri!$AS$6:$AS$35,'Zaman'!AF9),INDEX(Python_girdileri!$AK$6:$AK$35,'Zaman'!AF9)),IF(Girdiler!$C$8="P90",INDEX(Python_girdileri!$AC$6:$AC$35,'Zaman'!AF9),INDEX(Python_girdileri!$U$6:$U$35,'Zaman'!AF9))),IF(Girdiler!$C$8="P90",INDEX(Python_girdileri!$M$6:$M$35,'Zaman'!AF9),INDEX(Python_girdileri!$E$6:$E$35,'Zaman'!AF9))),0)</f>
        <v/>
      </c>
      <c r="AG8" s="18">
        <f>IF('Zaman'!AG13=1,IF(Girdiler!$C$91=1,IF('Zaman'!AG15=1,IF(Girdiler!$C$8="P90",INDEX(Python_girdileri!$AS$6:$AS$35,'Zaman'!AG9),INDEX(Python_girdileri!$AK$6:$AK$35,'Zaman'!AG9)),IF(Girdiler!$C$8="P90",INDEX(Python_girdileri!$AC$6:$AC$35,'Zaman'!AG9),INDEX(Python_girdileri!$U$6:$U$35,'Zaman'!AG9))),IF(Girdiler!$C$8="P90",INDEX(Python_girdileri!$M$6:$M$35,'Zaman'!AG9),INDEX(Python_girdileri!$E$6:$E$35,'Zaman'!AG9))),0)</f>
        <v/>
      </c>
      <c r="AH8" s="18">
        <f>IF('Zaman'!AH13=1,IF(Girdiler!$C$91=1,IF('Zaman'!AH15=1,IF(Girdiler!$C$8="P90",INDEX(Python_girdileri!$AS$6:$AS$35,'Zaman'!AH9),INDEX(Python_girdileri!$AK$6:$AK$35,'Zaman'!AH9)),IF(Girdiler!$C$8="P90",INDEX(Python_girdileri!$AC$6:$AC$35,'Zaman'!AH9),INDEX(Python_girdileri!$U$6:$U$35,'Zaman'!AH9))),IF(Girdiler!$C$8="P90",INDEX(Python_girdileri!$M$6:$M$35,'Zaman'!AH9),INDEX(Python_girdileri!$E$6:$E$35,'Zaman'!AH9))),0)</f>
        <v/>
      </c>
      <c r="AI8" s="18">
        <f>IF('Zaman'!AI13=1,IF(Girdiler!$C$91=1,IF('Zaman'!AI15=1,IF(Girdiler!$C$8="P90",INDEX(Python_girdileri!$AS$6:$AS$35,'Zaman'!AI9),INDEX(Python_girdileri!$AK$6:$AK$35,'Zaman'!AI9)),IF(Girdiler!$C$8="P90",INDEX(Python_girdileri!$AC$6:$AC$35,'Zaman'!AI9),INDEX(Python_girdileri!$U$6:$U$35,'Zaman'!AI9))),IF(Girdiler!$C$8="P90",INDEX(Python_girdileri!$M$6:$M$35,'Zaman'!AI9),INDEX(Python_girdileri!$E$6:$E$35,'Zaman'!AI9))),0)</f>
        <v/>
      </c>
      <c r="AJ8" s="18">
        <f>IF('Zaman'!AJ13=1,IF(Girdiler!$C$91=1,IF('Zaman'!AJ15=1,IF(Girdiler!$C$8="P90",INDEX(Python_girdileri!$AS$6:$AS$35,'Zaman'!AJ9),INDEX(Python_girdileri!$AK$6:$AK$35,'Zaman'!AJ9)),IF(Girdiler!$C$8="P90",INDEX(Python_girdileri!$AC$6:$AC$35,'Zaman'!AJ9),INDEX(Python_girdileri!$U$6:$U$35,'Zaman'!AJ9))),IF(Girdiler!$C$8="P90",INDEX(Python_girdileri!$M$6:$M$35,'Zaman'!AJ9),INDEX(Python_girdileri!$E$6:$E$35,'Zaman'!AJ9))),0)</f>
        <v/>
      </c>
      <c r="AK8" s="18">
        <f>IF('Zaman'!AK13=1,IF(Girdiler!$C$91=1,IF('Zaman'!AK15=1,IF(Girdiler!$C$8="P90",INDEX(Python_girdileri!$AS$6:$AS$35,'Zaman'!AK9),INDEX(Python_girdileri!$AK$6:$AK$35,'Zaman'!AK9)),IF(Girdiler!$C$8="P90",INDEX(Python_girdileri!$AC$6:$AC$35,'Zaman'!AK9),INDEX(Python_girdileri!$U$6:$U$35,'Zaman'!AK9))),IF(Girdiler!$C$8="P90",INDEX(Python_girdileri!$M$6:$M$35,'Zaman'!AK9),INDEX(Python_girdileri!$E$6:$E$35,'Zaman'!AK9))),0)</f>
        <v/>
      </c>
      <c r="AL8" s="18">
        <f>IF('Zaman'!AL13=1,IF(Girdiler!$C$91=1,IF('Zaman'!AL15=1,IF(Girdiler!$C$8="P90",INDEX(Python_girdileri!$AS$6:$AS$35,'Zaman'!AL9),INDEX(Python_girdileri!$AK$6:$AK$35,'Zaman'!AL9)),IF(Girdiler!$C$8="P90",INDEX(Python_girdileri!$AC$6:$AC$35,'Zaman'!AL9),INDEX(Python_girdileri!$U$6:$U$35,'Zaman'!AL9))),IF(Girdiler!$C$8="P90",INDEX(Python_girdileri!$M$6:$M$35,'Zaman'!AL9),INDEX(Python_girdileri!$E$6:$E$35,'Zaman'!AL9))),0)</f>
        <v/>
      </c>
      <c r="AM8" s="18">
        <f>IF('Zaman'!AM13=1,IF(Girdiler!$C$91=1,IF('Zaman'!AM15=1,IF(Girdiler!$C$8="P90",INDEX(Python_girdileri!$AS$6:$AS$35,'Zaman'!AM9),INDEX(Python_girdileri!$AK$6:$AK$35,'Zaman'!AM9)),IF(Girdiler!$C$8="P90",INDEX(Python_girdileri!$AC$6:$AC$35,'Zaman'!AM9),INDEX(Python_girdileri!$U$6:$U$35,'Zaman'!AM9))),IF(Girdiler!$C$8="P90",INDEX(Python_girdileri!$M$6:$M$35,'Zaman'!AM9),INDEX(Python_girdileri!$E$6:$E$35,'Zaman'!AM9))),0)</f>
        <v/>
      </c>
      <c r="AN8" s="18">
        <f>IF('Zaman'!AN13=1,IF(Girdiler!$C$91=1,IF('Zaman'!AN15=1,IF(Girdiler!$C$8="P90",INDEX(Python_girdileri!$AS$6:$AS$35,'Zaman'!AN9),INDEX(Python_girdileri!$AK$6:$AK$35,'Zaman'!AN9)),IF(Girdiler!$C$8="P90",INDEX(Python_girdileri!$AC$6:$AC$35,'Zaman'!AN9),INDEX(Python_girdileri!$U$6:$U$35,'Zaman'!AN9))),IF(Girdiler!$C$8="P90",INDEX(Python_girdileri!$M$6:$M$35,'Zaman'!AN9),INDEX(Python_girdileri!$E$6:$E$35,'Zaman'!AN9))),0)</f>
        <v/>
      </c>
      <c r="AO8" s="18">
        <f>IF('Zaman'!AO13=1,IF(Girdiler!$C$91=1,IF('Zaman'!AO15=1,IF(Girdiler!$C$8="P90",INDEX(Python_girdileri!$AS$6:$AS$35,'Zaman'!AO9),INDEX(Python_girdileri!$AK$6:$AK$35,'Zaman'!AO9)),IF(Girdiler!$C$8="P90",INDEX(Python_girdileri!$AC$6:$AC$35,'Zaman'!AO9),INDEX(Python_girdileri!$U$6:$U$35,'Zaman'!AO9))),IF(Girdiler!$C$8="P90",INDEX(Python_girdileri!$M$6:$M$35,'Zaman'!AO9),INDEX(Python_girdileri!$E$6:$E$35,'Zaman'!AO9))),0)</f>
        <v/>
      </c>
      <c r="AP8" s="18">
        <f>IF('Zaman'!AP13=1,IF(Girdiler!$C$91=1,IF('Zaman'!AP15=1,IF(Girdiler!$C$8="P90",INDEX(Python_girdileri!$AS$6:$AS$35,'Zaman'!AP9),INDEX(Python_girdileri!$AK$6:$AK$35,'Zaman'!AP9)),IF(Girdiler!$C$8="P90",INDEX(Python_girdileri!$AC$6:$AC$35,'Zaman'!AP9),INDEX(Python_girdileri!$U$6:$U$35,'Zaman'!AP9))),IF(Girdiler!$C$8="P90",INDEX(Python_girdileri!$M$6:$M$35,'Zaman'!AP9),INDEX(Python_girdileri!$E$6:$E$35,'Zaman'!AP9))),0)</f>
        <v/>
      </c>
      <c r="AQ8" s="18">
        <f>IF('Zaman'!AQ13=1,IF(Girdiler!$C$91=1,IF('Zaman'!AQ15=1,IF(Girdiler!$C$8="P90",INDEX(Python_girdileri!$AS$6:$AS$35,'Zaman'!AQ9),INDEX(Python_girdileri!$AK$6:$AK$35,'Zaman'!AQ9)),IF(Girdiler!$C$8="P90",INDEX(Python_girdileri!$AC$6:$AC$35,'Zaman'!AQ9),INDEX(Python_girdileri!$U$6:$U$35,'Zaman'!AQ9))),IF(Girdiler!$C$8="P90",INDEX(Python_girdileri!$M$6:$M$35,'Zaman'!AQ9),INDEX(Python_girdileri!$E$6:$E$35,'Zaman'!AQ9))),0)</f>
        <v/>
      </c>
      <c r="AR8" s="18">
        <f>IF('Zaman'!AR13=1,IF(Girdiler!$C$91=1,IF('Zaman'!AR15=1,IF(Girdiler!$C$8="P90",INDEX(Python_girdileri!$AS$6:$AS$35,'Zaman'!AR9),INDEX(Python_girdileri!$AK$6:$AK$35,'Zaman'!AR9)),IF(Girdiler!$C$8="P90",INDEX(Python_girdileri!$AC$6:$AC$35,'Zaman'!AR9),INDEX(Python_girdileri!$U$6:$U$35,'Zaman'!AR9))),IF(Girdiler!$C$8="P90",INDEX(Python_girdileri!$M$6:$M$35,'Zaman'!AR9),INDEX(Python_girdileri!$E$6:$E$35,'Zaman'!AR9))),0)</f>
        <v/>
      </c>
    </row>
    <row r="9">
      <c r="A9" t="inlineStr">
        <is>
          <t>E_res</t>
        </is>
      </c>
      <c r="B9" t="inlineStr">
        <is>
          <t>MWh</t>
        </is>
      </c>
      <c r="C9" t="inlineStr">
        <is>
          <t>Python_girdileri (rejim: katılıma göre Y1/Y0, aksi T)</t>
        </is>
      </c>
      <c r="D9" s="18">
        <f>SUM(F9:AR9)</f>
        <v/>
      </c>
      <c r="E9" s="18" t="n">
        <v>0</v>
      </c>
      <c r="F9" s="18">
        <f>IF('Zaman'!F13=1,IF(Girdiler!$C$91=1,IF('Zaman'!F15=1,IF(Girdiler!$C$8="P90",INDEX(Python_girdileri!$AT$6:$AT$35,'Zaman'!F9),INDEX(Python_girdileri!$AL$6:$AL$35,'Zaman'!F9)),IF(Girdiler!$C$8="P90",INDEX(Python_girdileri!$AD$6:$AD$35,'Zaman'!F9),INDEX(Python_girdileri!$V$6:$V$35,'Zaman'!F9))),IF(Girdiler!$C$8="P90",INDEX(Python_girdileri!$N$6:$N$35,'Zaman'!F9),INDEX(Python_girdileri!$F$6:$F$35,'Zaman'!F9))),0)</f>
        <v/>
      </c>
      <c r="G9" s="18">
        <f>IF('Zaman'!G13=1,IF(Girdiler!$C$91=1,IF('Zaman'!G15=1,IF(Girdiler!$C$8="P90",INDEX(Python_girdileri!$AT$6:$AT$35,'Zaman'!G9),INDEX(Python_girdileri!$AL$6:$AL$35,'Zaman'!G9)),IF(Girdiler!$C$8="P90",INDEX(Python_girdileri!$AD$6:$AD$35,'Zaman'!G9),INDEX(Python_girdileri!$V$6:$V$35,'Zaman'!G9))),IF(Girdiler!$C$8="P90",INDEX(Python_girdileri!$N$6:$N$35,'Zaman'!G9),INDEX(Python_girdileri!$F$6:$F$35,'Zaman'!G9))),0)</f>
        <v/>
      </c>
      <c r="H9" s="18">
        <f>IF('Zaman'!H13=1,IF(Girdiler!$C$91=1,IF('Zaman'!H15=1,IF(Girdiler!$C$8="P90",INDEX(Python_girdileri!$AT$6:$AT$35,'Zaman'!H9),INDEX(Python_girdileri!$AL$6:$AL$35,'Zaman'!H9)),IF(Girdiler!$C$8="P90",INDEX(Python_girdileri!$AD$6:$AD$35,'Zaman'!H9),INDEX(Python_girdileri!$V$6:$V$35,'Zaman'!H9))),IF(Girdiler!$C$8="P90",INDEX(Python_girdileri!$N$6:$N$35,'Zaman'!H9),INDEX(Python_girdileri!$F$6:$F$35,'Zaman'!H9))),0)</f>
        <v/>
      </c>
      <c r="I9" s="18">
        <f>IF('Zaman'!I13=1,IF(Girdiler!$C$91=1,IF('Zaman'!I15=1,IF(Girdiler!$C$8="P90",INDEX(Python_girdileri!$AT$6:$AT$35,'Zaman'!I9),INDEX(Python_girdileri!$AL$6:$AL$35,'Zaman'!I9)),IF(Girdiler!$C$8="P90",INDEX(Python_girdileri!$AD$6:$AD$35,'Zaman'!I9),INDEX(Python_girdileri!$V$6:$V$35,'Zaman'!I9))),IF(Girdiler!$C$8="P90",INDEX(Python_girdileri!$N$6:$N$35,'Zaman'!I9),INDEX(Python_girdileri!$F$6:$F$35,'Zaman'!I9))),0)</f>
        <v/>
      </c>
      <c r="J9" s="18">
        <f>IF('Zaman'!J13=1,IF(Girdiler!$C$91=1,IF('Zaman'!J15=1,IF(Girdiler!$C$8="P90",INDEX(Python_girdileri!$AT$6:$AT$35,'Zaman'!J9),INDEX(Python_girdileri!$AL$6:$AL$35,'Zaman'!J9)),IF(Girdiler!$C$8="P90",INDEX(Python_girdileri!$AD$6:$AD$35,'Zaman'!J9),INDEX(Python_girdileri!$V$6:$V$35,'Zaman'!J9))),IF(Girdiler!$C$8="P90",INDEX(Python_girdileri!$N$6:$N$35,'Zaman'!J9),INDEX(Python_girdileri!$F$6:$F$35,'Zaman'!J9))),0)</f>
        <v/>
      </c>
      <c r="K9" s="18">
        <f>IF('Zaman'!K13=1,IF(Girdiler!$C$91=1,IF('Zaman'!K15=1,IF(Girdiler!$C$8="P90",INDEX(Python_girdileri!$AT$6:$AT$35,'Zaman'!K9),INDEX(Python_girdileri!$AL$6:$AL$35,'Zaman'!K9)),IF(Girdiler!$C$8="P90",INDEX(Python_girdileri!$AD$6:$AD$35,'Zaman'!K9),INDEX(Python_girdileri!$V$6:$V$35,'Zaman'!K9))),IF(Girdiler!$C$8="P90",INDEX(Python_girdileri!$N$6:$N$35,'Zaman'!K9),INDEX(Python_girdileri!$F$6:$F$35,'Zaman'!K9))),0)</f>
        <v/>
      </c>
      <c r="L9" s="18">
        <f>IF('Zaman'!L13=1,IF(Girdiler!$C$91=1,IF('Zaman'!L15=1,IF(Girdiler!$C$8="P90",INDEX(Python_girdileri!$AT$6:$AT$35,'Zaman'!L9),INDEX(Python_girdileri!$AL$6:$AL$35,'Zaman'!L9)),IF(Girdiler!$C$8="P90",INDEX(Python_girdileri!$AD$6:$AD$35,'Zaman'!L9),INDEX(Python_girdileri!$V$6:$V$35,'Zaman'!L9))),IF(Girdiler!$C$8="P90",INDEX(Python_girdileri!$N$6:$N$35,'Zaman'!L9),INDEX(Python_girdileri!$F$6:$F$35,'Zaman'!L9))),0)</f>
        <v/>
      </c>
      <c r="M9" s="18">
        <f>IF('Zaman'!M13=1,IF(Girdiler!$C$91=1,IF('Zaman'!M15=1,IF(Girdiler!$C$8="P90",INDEX(Python_girdileri!$AT$6:$AT$35,'Zaman'!M9),INDEX(Python_girdileri!$AL$6:$AL$35,'Zaman'!M9)),IF(Girdiler!$C$8="P90",INDEX(Python_girdileri!$AD$6:$AD$35,'Zaman'!M9),INDEX(Python_girdileri!$V$6:$V$35,'Zaman'!M9))),IF(Girdiler!$C$8="P90",INDEX(Python_girdileri!$N$6:$N$35,'Zaman'!M9),INDEX(Python_girdileri!$F$6:$F$35,'Zaman'!M9))),0)</f>
        <v/>
      </c>
      <c r="N9" s="18">
        <f>IF('Zaman'!N13=1,IF(Girdiler!$C$91=1,IF('Zaman'!N15=1,IF(Girdiler!$C$8="P90",INDEX(Python_girdileri!$AT$6:$AT$35,'Zaman'!N9),INDEX(Python_girdileri!$AL$6:$AL$35,'Zaman'!N9)),IF(Girdiler!$C$8="P90",INDEX(Python_girdileri!$AD$6:$AD$35,'Zaman'!N9),INDEX(Python_girdileri!$V$6:$V$35,'Zaman'!N9))),IF(Girdiler!$C$8="P90",INDEX(Python_girdileri!$N$6:$N$35,'Zaman'!N9),INDEX(Python_girdileri!$F$6:$F$35,'Zaman'!N9))),0)</f>
        <v/>
      </c>
      <c r="O9" s="18">
        <f>IF('Zaman'!O13=1,IF(Girdiler!$C$91=1,IF('Zaman'!O15=1,IF(Girdiler!$C$8="P90",INDEX(Python_girdileri!$AT$6:$AT$35,'Zaman'!O9),INDEX(Python_girdileri!$AL$6:$AL$35,'Zaman'!O9)),IF(Girdiler!$C$8="P90",INDEX(Python_girdileri!$AD$6:$AD$35,'Zaman'!O9),INDEX(Python_girdileri!$V$6:$V$35,'Zaman'!O9))),IF(Girdiler!$C$8="P90",INDEX(Python_girdileri!$N$6:$N$35,'Zaman'!O9),INDEX(Python_girdileri!$F$6:$F$35,'Zaman'!O9))),0)</f>
        <v/>
      </c>
      <c r="P9" s="18">
        <f>IF('Zaman'!P13=1,IF(Girdiler!$C$91=1,IF('Zaman'!P15=1,IF(Girdiler!$C$8="P90",INDEX(Python_girdileri!$AT$6:$AT$35,'Zaman'!P9),INDEX(Python_girdileri!$AL$6:$AL$35,'Zaman'!P9)),IF(Girdiler!$C$8="P90",INDEX(Python_girdileri!$AD$6:$AD$35,'Zaman'!P9),INDEX(Python_girdileri!$V$6:$V$35,'Zaman'!P9))),IF(Girdiler!$C$8="P90",INDEX(Python_girdileri!$N$6:$N$35,'Zaman'!P9),INDEX(Python_girdileri!$F$6:$F$35,'Zaman'!P9))),0)</f>
        <v/>
      </c>
      <c r="Q9" s="18">
        <f>IF('Zaman'!Q13=1,IF(Girdiler!$C$91=1,IF('Zaman'!Q15=1,IF(Girdiler!$C$8="P90",INDEX(Python_girdileri!$AT$6:$AT$35,'Zaman'!Q9),INDEX(Python_girdileri!$AL$6:$AL$35,'Zaman'!Q9)),IF(Girdiler!$C$8="P90",INDEX(Python_girdileri!$AD$6:$AD$35,'Zaman'!Q9),INDEX(Python_girdileri!$V$6:$V$35,'Zaman'!Q9))),IF(Girdiler!$C$8="P90",INDEX(Python_girdileri!$N$6:$N$35,'Zaman'!Q9),INDEX(Python_girdileri!$F$6:$F$35,'Zaman'!Q9))),0)</f>
        <v/>
      </c>
      <c r="R9" s="18">
        <f>IF('Zaman'!R13=1,IF(Girdiler!$C$91=1,IF('Zaman'!R15=1,IF(Girdiler!$C$8="P90",INDEX(Python_girdileri!$AT$6:$AT$35,'Zaman'!R9),INDEX(Python_girdileri!$AL$6:$AL$35,'Zaman'!R9)),IF(Girdiler!$C$8="P90",INDEX(Python_girdileri!$AD$6:$AD$35,'Zaman'!R9),INDEX(Python_girdileri!$V$6:$V$35,'Zaman'!R9))),IF(Girdiler!$C$8="P90",INDEX(Python_girdileri!$N$6:$N$35,'Zaman'!R9),INDEX(Python_girdileri!$F$6:$F$35,'Zaman'!R9))),0)</f>
        <v/>
      </c>
      <c r="S9" s="18">
        <f>IF('Zaman'!S13=1,IF(Girdiler!$C$91=1,IF('Zaman'!S15=1,IF(Girdiler!$C$8="P90",INDEX(Python_girdileri!$AT$6:$AT$35,'Zaman'!S9),INDEX(Python_girdileri!$AL$6:$AL$35,'Zaman'!S9)),IF(Girdiler!$C$8="P90",INDEX(Python_girdileri!$AD$6:$AD$35,'Zaman'!S9),INDEX(Python_girdileri!$V$6:$V$35,'Zaman'!S9))),IF(Girdiler!$C$8="P90",INDEX(Python_girdileri!$N$6:$N$35,'Zaman'!S9),INDEX(Python_girdileri!$F$6:$F$35,'Zaman'!S9))),0)</f>
        <v/>
      </c>
      <c r="T9" s="18">
        <f>IF('Zaman'!T13=1,IF(Girdiler!$C$91=1,IF('Zaman'!T15=1,IF(Girdiler!$C$8="P90",INDEX(Python_girdileri!$AT$6:$AT$35,'Zaman'!T9),INDEX(Python_girdileri!$AL$6:$AL$35,'Zaman'!T9)),IF(Girdiler!$C$8="P90",INDEX(Python_girdileri!$AD$6:$AD$35,'Zaman'!T9),INDEX(Python_girdileri!$V$6:$V$35,'Zaman'!T9))),IF(Girdiler!$C$8="P90",INDEX(Python_girdileri!$N$6:$N$35,'Zaman'!T9),INDEX(Python_girdileri!$F$6:$F$35,'Zaman'!T9))),0)</f>
        <v/>
      </c>
      <c r="U9" s="18">
        <f>IF('Zaman'!U13=1,IF(Girdiler!$C$91=1,IF('Zaman'!U15=1,IF(Girdiler!$C$8="P90",INDEX(Python_girdileri!$AT$6:$AT$35,'Zaman'!U9),INDEX(Python_girdileri!$AL$6:$AL$35,'Zaman'!U9)),IF(Girdiler!$C$8="P90",INDEX(Python_girdileri!$AD$6:$AD$35,'Zaman'!U9),INDEX(Python_girdileri!$V$6:$V$35,'Zaman'!U9))),IF(Girdiler!$C$8="P90",INDEX(Python_girdileri!$N$6:$N$35,'Zaman'!U9),INDEX(Python_girdileri!$F$6:$F$35,'Zaman'!U9))),0)</f>
        <v/>
      </c>
      <c r="V9" s="18">
        <f>IF('Zaman'!V13=1,IF(Girdiler!$C$91=1,IF('Zaman'!V15=1,IF(Girdiler!$C$8="P90",INDEX(Python_girdileri!$AT$6:$AT$35,'Zaman'!V9),INDEX(Python_girdileri!$AL$6:$AL$35,'Zaman'!V9)),IF(Girdiler!$C$8="P90",INDEX(Python_girdileri!$AD$6:$AD$35,'Zaman'!V9),INDEX(Python_girdileri!$V$6:$V$35,'Zaman'!V9))),IF(Girdiler!$C$8="P90",INDEX(Python_girdileri!$N$6:$N$35,'Zaman'!V9),INDEX(Python_girdileri!$F$6:$F$35,'Zaman'!V9))),0)</f>
        <v/>
      </c>
      <c r="W9" s="18">
        <f>IF('Zaman'!W13=1,IF(Girdiler!$C$91=1,IF('Zaman'!W15=1,IF(Girdiler!$C$8="P90",INDEX(Python_girdileri!$AT$6:$AT$35,'Zaman'!W9),INDEX(Python_girdileri!$AL$6:$AL$35,'Zaman'!W9)),IF(Girdiler!$C$8="P90",INDEX(Python_girdileri!$AD$6:$AD$35,'Zaman'!W9),INDEX(Python_girdileri!$V$6:$V$35,'Zaman'!W9))),IF(Girdiler!$C$8="P90",INDEX(Python_girdileri!$N$6:$N$35,'Zaman'!W9),INDEX(Python_girdileri!$F$6:$F$35,'Zaman'!W9))),0)</f>
        <v/>
      </c>
      <c r="X9" s="18">
        <f>IF('Zaman'!X13=1,IF(Girdiler!$C$91=1,IF('Zaman'!X15=1,IF(Girdiler!$C$8="P90",INDEX(Python_girdileri!$AT$6:$AT$35,'Zaman'!X9),INDEX(Python_girdileri!$AL$6:$AL$35,'Zaman'!X9)),IF(Girdiler!$C$8="P90",INDEX(Python_girdileri!$AD$6:$AD$35,'Zaman'!X9),INDEX(Python_girdileri!$V$6:$V$35,'Zaman'!X9))),IF(Girdiler!$C$8="P90",INDEX(Python_girdileri!$N$6:$N$35,'Zaman'!X9),INDEX(Python_girdileri!$F$6:$F$35,'Zaman'!X9))),0)</f>
        <v/>
      </c>
      <c r="Y9" s="18">
        <f>IF('Zaman'!Y13=1,IF(Girdiler!$C$91=1,IF('Zaman'!Y15=1,IF(Girdiler!$C$8="P90",INDEX(Python_girdileri!$AT$6:$AT$35,'Zaman'!Y9),INDEX(Python_girdileri!$AL$6:$AL$35,'Zaman'!Y9)),IF(Girdiler!$C$8="P90",INDEX(Python_girdileri!$AD$6:$AD$35,'Zaman'!Y9),INDEX(Python_girdileri!$V$6:$V$35,'Zaman'!Y9))),IF(Girdiler!$C$8="P90",INDEX(Python_girdileri!$N$6:$N$35,'Zaman'!Y9),INDEX(Python_girdileri!$F$6:$F$35,'Zaman'!Y9))),0)</f>
        <v/>
      </c>
      <c r="Z9" s="18">
        <f>IF('Zaman'!Z13=1,IF(Girdiler!$C$91=1,IF('Zaman'!Z15=1,IF(Girdiler!$C$8="P90",INDEX(Python_girdileri!$AT$6:$AT$35,'Zaman'!Z9),INDEX(Python_girdileri!$AL$6:$AL$35,'Zaman'!Z9)),IF(Girdiler!$C$8="P90",INDEX(Python_girdileri!$AD$6:$AD$35,'Zaman'!Z9),INDEX(Python_girdileri!$V$6:$V$35,'Zaman'!Z9))),IF(Girdiler!$C$8="P90",INDEX(Python_girdileri!$N$6:$N$35,'Zaman'!Z9),INDEX(Python_girdileri!$F$6:$F$35,'Zaman'!Z9))),0)</f>
        <v/>
      </c>
      <c r="AA9" s="18">
        <f>IF('Zaman'!AA13=1,IF(Girdiler!$C$91=1,IF('Zaman'!AA15=1,IF(Girdiler!$C$8="P90",INDEX(Python_girdileri!$AT$6:$AT$35,'Zaman'!AA9),INDEX(Python_girdileri!$AL$6:$AL$35,'Zaman'!AA9)),IF(Girdiler!$C$8="P90",INDEX(Python_girdileri!$AD$6:$AD$35,'Zaman'!AA9),INDEX(Python_girdileri!$V$6:$V$35,'Zaman'!AA9))),IF(Girdiler!$C$8="P90",INDEX(Python_girdileri!$N$6:$N$35,'Zaman'!AA9),INDEX(Python_girdileri!$F$6:$F$35,'Zaman'!AA9))),0)</f>
        <v/>
      </c>
      <c r="AB9" s="18">
        <f>IF('Zaman'!AB13=1,IF(Girdiler!$C$91=1,IF('Zaman'!AB15=1,IF(Girdiler!$C$8="P90",INDEX(Python_girdileri!$AT$6:$AT$35,'Zaman'!AB9),INDEX(Python_girdileri!$AL$6:$AL$35,'Zaman'!AB9)),IF(Girdiler!$C$8="P90",INDEX(Python_girdileri!$AD$6:$AD$35,'Zaman'!AB9),INDEX(Python_girdileri!$V$6:$V$35,'Zaman'!AB9))),IF(Girdiler!$C$8="P90",INDEX(Python_girdileri!$N$6:$N$35,'Zaman'!AB9),INDEX(Python_girdileri!$F$6:$F$35,'Zaman'!AB9))),0)</f>
        <v/>
      </c>
      <c r="AC9" s="18">
        <f>IF('Zaman'!AC13=1,IF(Girdiler!$C$91=1,IF('Zaman'!AC15=1,IF(Girdiler!$C$8="P90",INDEX(Python_girdileri!$AT$6:$AT$35,'Zaman'!AC9),INDEX(Python_girdileri!$AL$6:$AL$35,'Zaman'!AC9)),IF(Girdiler!$C$8="P90",INDEX(Python_girdileri!$AD$6:$AD$35,'Zaman'!AC9),INDEX(Python_girdileri!$V$6:$V$35,'Zaman'!AC9))),IF(Girdiler!$C$8="P90",INDEX(Python_girdileri!$N$6:$N$35,'Zaman'!AC9),INDEX(Python_girdileri!$F$6:$F$35,'Zaman'!AC9))),0)</f>
        <v/>
      </c>
      <c r="AD9" s="18">
        <f>IF('Zaman'!AD13=1,IF(Girdiler!$C$91=1,IF('Zaman'!AD15=1,IF(Girdiler!$C$8="P90",INDEX(Python_girdileri!$AT$6:$AT$35,'Zaman'!AD9),INDEX(Python_girdileri!$AL$6:$AL$35,'Zaman'!AD9)),IF(Girdiler!$C$8="P90",INDEX(Python_girdileri!$AD$6:$AD$35,'Zaman'!AD9),INDEX(Python_girdileri!$V$6:$V$35,'Zaman'!AD9))),IF(Girdiler!$C$8="P90",INDEX(Python_girdileri!$N$6:$N$35,'Zaman'!AD9),INDEX(Python_girdileri!$F$6:$F$35,'Zaman'!AD9))),0)</f>
        <v/>
      </c>
      <c r="AE9" s="18">
        <f>IF('Zaman'!AE13=1,IF(Girdiler!$C$91=1,IF('Zaman'!AE15=1,IF(Girdiler!$C$8="P90",INDEX(Python_girdileri!$AT$6:$AT$35,'Zaman'!AE9),INDEX(Python_girdileri!$AL$6:$AL$35,'Zaman'!AE9)),IF(Girdiler!$C$8="P90",INDEX(Python_girdileri!$AD$6:$AD$35,'Zaman'!AE9),INDEX(Python_girdileri!$V$6:$V$35,'Zaman'!AE9))),IF(Girdiler!$C$8="P90",INDEX(Python_girdileri!$N$6:$N$35,'Zaman'!AE9),INDEX(Python_girdileri!$F$6:$F$35,'Zaman'!AE9))),0)</f>
        <v/>
      </c>
      <c r="AF9" s="18">
        <f>IF('Zaman'!AF13=1,IF(Girdiler!$C$91=1,IF('Zaman'!AF15=1,IF(Girdiler!$C$8="P90",INDEX(Python_girdileri!$AT$6:$AT$35,'Zaman'!AF9),INDEX(Python_girdileri!$AL$6:$AL$35,'Zaman'!AF9)),IF(Girdiler!$C$8="P90",INDEX(Python_girdileri!$AD$6:$AD$35,'Zaman'!AF9),INDEX(Python_girdileri!$V$6:$V$35,'Zaman'!AF9))),IF(Girdiler!$C$8="P90",INDEX(Python_girdileri!$N$6:$N$35,'Zaman'!AF9),INDEX(Python_girdileri!$F$6:$F$35,'Zaman'!AF9))),0)</f>
        <v/>
      </c>
      <c r="AG9" s="18">
        <f>IF('Zaman'!AG13=1,IF(Girdiler!$C$91=1,IF('Zaman'!AG15=1,IF(Girdiler!$C$8="P90",INDEX(Python_girdileri!$AT$6:$AT$35,'Zaman'!AG9),INDEX(Python_girdileri!$AL$6:$AL$35,'Zaman'!AG9)),IF(Girdiler!$C$8="P90",INDEX(Python_girdileri!$AD$6:$AD$35,'Zaman'!AG9),INDEX(Python_girdileri!$V$6:$V$35,'Zaman'!AG9))),IF(Girdiler!$C$8="P90",INDEX(Python_girdileri!$N$6:$N$35,'Zaman'!AG9),INDEX(Python_girdileri!$F$6:$F$35,'Zaman'!AG9))),0)</f>
        <v/>
      </c>
      <c r="AH9" s="18">
        <f>IF('Zaman'!AH13=1,IF(Girdiler!$C$91=1,IF('Zaman'!AH15=1,IF(Girdiler!$C$8="P90",INDEX(Python_girdileri!$AT$6:$AT$35,'Zaman'!AH9),INDEX(Python_girdileri!$AL$6:$AL$35,'Zaman'!AH9)),IF(Girdiler!$C$8="P90",INDEX(Python_girdileri!$AD$6:$AD$35,'Zaman'!AH9),INDEX(Python_girdileri!$V$6:$V$35,'Zaman'!AH9))),IF(Girdiler!$C$8="P90",INDEX(Python_girdileri!$N$6:$N$35,'Zaman'!AH9),INDEX(Python_girdileri!$F$6:$F$35,'Zaman'!AH9))),0)</f>
        <v/>
      </c>
      <c r="AI9" s="18">
        <f>IF('Zaman'!AI13=1,IF(Girdiler!$C$91=1,IF('Zaman'!AI15=1,IF(Girdiler!$C$8="P90",INDEX(Python_girdileri!$AT$6:$AT$35,'Zaman'!AI9),INDEX(Python_girdileri!$AL$6:$AL$35,'Zaman'!AI9)),IF(Girdiler!$C$8="P90",INDEX(Python_girdileri!$AD$6:$AD$35,'Zaman'!AI9),INDEX(Python_girdileri!$V$6:$V$35,'Zaman'!AI9))),IF(Girdiler!$C$8="P90",INDEX(Python_girdileri!$N$6:$N$35,'Zaman'!AI9),INDEX(Python_girdileri!$F$6:$F$35,'Zaman'!AI9))),0)</f>
        <v/>
      </c>
      <c r="AJ9" s="18">
        <f>IF('Zaman'!AJ13=1,IF(Girdiler!$C$91=1,IF('Zaman'!AJ15=1,IF(Girdiler!$C$8="P90",INDEX(Python_girdileri!$AT$6:$AT$35,'Zaman'!AJ9),INDEX(Python_girdileri!$AL$6:$AL$35,'Zaman'!AJ9)),IF(Girdiler!$C$8="P90",INDEX(Python_girdileri!$AD$6:$AD$35,'Zaman'!AJ9),INDEX(Python_girdileri!$V$6:$V$35,'Zaman'!AJ9))),IF(Girdiler!$C$8="P90",INDEX(Python_girdileri!$N$6:$N$35,'Zaman'!AJ9),INDEX(Python_girdileri!$F$6:$F$35,'Zaman'!AJ9))),0)</f>
        <v/>
      </c>
      <c r="AK9" s="18">
        <f>IF('Zaman'!AK13=1,IF(Girdiler!$C$91=1,IF('Zaman'!AK15=1,IF(Girdiler!$C$8="P90",INDEX(Python_girdileri!$AT$6:$AT$35,'Zaman'!AK9),INDEX(Python_girdileri!$AL$6:$AL$35,'Zaman'!AK9)),IF(Girdiler!$C$8="P90",INDEX(Python_girdileri!$AD$6:$AD$35,'Zaman'!AK9),INDEX(Python_girdileri!$V$6:$V$35,'Zaman'!AK9))),IF(Girdiler!$C$8="P90",INDEX(Python_girdileri!$N$6:$N$35,'Zaman'!AK9),INDEX(Python_girdileri!$F$6:$F$35,'Zaman'!AK9))),0)</f>
        <v/>
      </c>
      <c r="AL9" s="18">
        <f>IF('Zaman'!AL13=1,IF(Girdiler!$C$91=1,IF('Zaman'!AL15=1,IF(Girdiler!$C$8="P90",INDEX(Python_girdileri!$AT$6:$AT$35,'Zaman'!AL9),INDEX(Python_girdileri!$AL$6:$AL$35,'Zaman'!AL9)),IF(Girdiler!$C$8="P90",INDEX(Python_girdileri!$AD$6:$AD$35,'Zaman'!AL9),INDEX(Python_girdileri!$V$6:$V$35,'Zaman'!AL9))),IF(Girdiler!$C$8="P90",INDEX(Python_girdileri!$N$6:$N$35,'Zaman'!AL9),INDEX(Python_girdileri!$F$6:$F$35,'Zaman'!AL9))),0)</f>
        <v/>
      </c>
      <c r="AM9" s="18">
        <f>IF('Zaman'!AM13=1,IF(Girdiler!$C$91=1,IF('Zaman'!AM15=1,IF(Girdiler!$C$8="P90",INDEX(Python_girdileri!$AT$6:$AT$35,'Zaman'!AM9),INDEX(Python_girdileri!$AL$6:$AL$35,'Zaman'!AM9)),IF(Girdiler!$C$8="P90",INDEX(Python_girdileri!$AD$6:$AD$35,'Zaman'!AM9),INDEX(Python_girdileri!$V$6:$V$35,'Zaman'!AM9))),IF(Girdiler!$C$8="P90",INDEX(Python_girdileri!$N$6:$N$35,'Zaman'!AM9),INDEX(Python_girdileri!$F$6:$F$35,'Zaman'!AM9))),0)</f>
        <v/>
      </c>
      <c r="AN9" s="18">
        <f>IF('Zaman'!AN13=1,IF(Girdiler!$C$91=1,IF('Zaman'!AN15=1,IF(Girdiler!$C$8="P90",INDEX(Python_girdileri!$AT$6:$AT$35,'Zaman'!AN9),INDEX(Python_girdileri!$AL$6:$AL$35,'Zaman'!AN9)),IF(Girdiler!$C$8="P90",INDEX(Python_girdileri!$AD$6:$AD$35,'Zaman'!AN9),INDEX(Python_girdileri!$V$6:$V$35,'Zaman'!AN9))),IF(Girdiler!$C$8="P90",INDEX(Python_girdileri!$N$6:$N$35,'Zaman'!AN9),INDEX(Python_girdileri!$F$6:$F$35,'Zaman'!AN9))),0)</f>
        <v/>
      </c>
      <c r="AO9" s="18">
        <f>IF('Zaman'!AO13=1,IF(Girdiler!$C$91=1,IF('Zaman'!AO15=1,IF(Girdiler!$C$8="P90",INDEX(Python_girdileri!$AT$6:$AT$35,'Zaman'!AO9),INDEX(Python_girdileri!$AL$6:$AL$35,'Zaman'!AO9)),IF(Girdiler!$C$8="P90",INDEX(Python_girdileri!$AD$6:$AD$35,'Zaman'!AO9),INDEX(Python_girdileri!$V$6:$V$35,'Zaman'!AO9))),IF(Girdiler!$C$8="P90",INDEX(Python_girdileri!$N$6:$N$35,'Zaman'!AO9),INDEX(Python_girdileri!$F$6:$F$35,'Zaman'!AO9))),0)</f>
        <v/>
      </c>
      <c r="AP9" s="18">
        <f>IF('Zaman'!AP13=1,IF(Girdiler!$C$91=1,IF('Zaman'!AP15=1,IF(Girdiler!$C$8="P90",INDEX(Python_girdileri!$AT$6:$AT$35,'Zaman'!AP9),INDEX(Python_girdileri!$AL$6:$AL$35,'Zaman'!AP9)),IF(Girdiler!$C$8="P90",INDEX(Python_girdileri!$AD$6:$AD$35,'Zaman'!AP9),INDEX(Python_girdileri!$V$6:$V$35,'Zaman'!AP9))),IF(Girdiler!$C$8="P90",INDEX(Python_girdileri!$N$6:$N$35,'Zaman'!AP9),INDEX(Python_girdileri!$F$6:$F$35,'Zaman'!AP9))),0)</f>
        <v/>
      </c>
      <c r="AQ9" s="18">
        <f>IF('Zaman'!AQ13=1,IF(Girdiler!$C$91=1,IF('Zaman'!AQ15=1,IF(Girdiler!$C$8="P90",INDEX(Python_girdileri!$AT$6:$AT$35,'Zaman'!AQ9),INDEX(Python_girdileri!$AL$6:$AL$35,'Zaman'!AQ9)),IF(Girdiler!$C$8="P90",INDEX(Python_girdileri!$AD$6:$AD$35,'Zaman'!AQ9),INDEX(Python_girdileri!$V$6:$V$35,'Zaman'!AQ9))),IF(Girdiler!$C$8="P90",INDEX(Python_girdileri!$N$6:$N$35,'Zaman'!AQ9),INDEX(Python_girdileri!$F$6:$F$35,'Zaman'!AQ9))),0)</f>
        <v/>
      </c>
      <c r="AR9" s="18">
        <f>IF('Zaman'!AR13=1,IF(Girdiler!$C$91=1,IF('Zaman'!AR15=1,IF(Girdiler!$C$8="P90",INDEX(Python_girdileri!$AT$6:$AT$35,'Zaman'!AR9),INDEX(Python_girdileri!$AL$6:$AL$35,'Zaman'!AR9)),IF(Girdiler!$C$8="P90",INDEX(Python_girdileri!$AD$6:$AD$35,'Zaman'!AR9),INDEX(Python_girdileri!$V$6:$V$35,'Zaman'!AR9))),IF(Girdiler!$C$8="P90",INDEX(Python_girdileri!$N$6:$N$35,'Zaman'!AR9),INDEX(Python_girdileri!$F$6:$F$35,'Zaman'!AR9))),0)</f>
        <v/>
      </c>
    </row>
    <row r="10">
      <c r="A10" t="inlineStr">
        <is>
          <t>gelir_d_q</t>
        </is>
      </c>
      <c r="B10" t="inlineStr">
        <is>
          <t>birim</t>
        </is>
      </c>
      <c r="C10" t="inlineStr">
        <is>
          <t>Python_girdileri (rejim: katılıma göre Y1/Y0, aksi T)</t>
        </is>
      </c>
      <c r="D10" s="18">
        <f>SUM(F10:AR10)</f>
        <v/>
      </c>
      <c r="E10" s="18" t="n">
        <v>0</v>
      </c>
      <c r="F10" s="18">
        <f>IF('Zaman'!F13=1,IF(Girdiler!$C$91=1,IF('Zaman'!F15=1,IF(Girdiler!$C$8="P90",INDEX(Python_girdileri!$AU$6:$AU$35,'Zaman'!F9),INDEX(Python_girdileri!$AM$6:$AM$35,'Zaman'!F9)),IF(Girdiler!$C$8="P90",INDEX(Python_girdileri!$AE$6:$AE$35,'Zaman'!F9),INDEX(Python_girdileri!$W$6:$W$35,'Zaman'!F9))),IF(Girdiler!$C$8="P90",INDEX(Python_girdileri!$O$6:$O$35,'Zaman'!F9),INDEX(Python_girdileri!$G$6:$G$35,'Zaman'!F9))),0)</f>
        <v/>
      </c>
      <c r="G10" s="18">
        <f>IF('Zaman'!G13=1,IF(Girdiler!$C$91=1,IF('Zaman'!G15=1,IF(Girdiler!$C$8="P90",INDEX(Python_girdileri!$AU$6:$AU$35,'Zaman'!G9),INDEX(Python_girdileri!$AM$6:$AM$35,'Zaman'!G9)),IF(Girdiler!$C$8="P90",INDEX(Python_girdileri!$AE$6:$AE$35,'Zaman'!G9),INDEX(Python_girdileri!$W$6:$W$35,'Zaman'!G9))),IF(Girdiler!$C$8="P90",INDEX(Python_girdileri!$O$6:$O$35,'Zaman'!G9),INDEX(Python_girdileri!$G$6:$G$35,'Zaman'!G9))),0)</f>
        <v/>
      </c>
      <c r="H10" s="18">
        <f>IF('Zaman'!H13=1,IF(Girdiler!$C$91=1,IF('Zaman'!H15=1,IF(Girdiler!$C$8="P90",INDEX(Python_girdileri!$AU$6:$AU$35,'Zaman'!H9),INDEX(Python_girdileri!$AM$6:$AM$35,'Zaman'!H9)),IF(Girdiler!$C$8="P90",INDEX(Python_girdileri!$AE$6:$AE$35,'Zaman'!H9),INDEX(Python_girdileri!$W$6:$W$35,'Zaman'!H9))),IF(Girdiler!$C$8="P90",INDEX(Python_girdileri!$O$6:$O$35,'Zaman'!H9),INDEX(Python_girdileri!$G$6:$G$35,'Zaman'!H9))),0)</f>
        <v/>
      </c>
      <c r="I10" s="18">
        <f>IF('Zaman'!I13=1,IF(Girdiler!$C$91=1,IF('Zaman'!I15=1,IF(Girdiler!$C$8="P90",INDEX(Python_girdileri!$AU$6:$AU$35,'Zaman'!I9),INDEX(Python_girdileri!$AM$6:$AM$35,'Zaman'!I9)),IF(Girdiler!$C$8="P90",INDEX(Python_girdileri!$AE$6:$AE$35,'Zaman'!I9),INDEX(Python_girdileri!$W$6:$W$35,'Zaman'!I9))),IF(Girdiler!$C$8="P90",INDEX(Python_girdileri!$O$6:$O$35,'Zaman'!I9),INDEX(Python_girdileri!$G$6:$G$35,'Zaman'!I9))),0)</f>
        <v/>
      </c>
      <c r="J10" s="18">
        <f>IF('Zaman'!J13=1,IF(Girdiler!$C$91=1,IF('Zaman'!J15=1,IF(Girdiler!$C$8="P90",INDEX(Python_girdileri!$AU$6:$AU$35,'Zaman'!J9),INDEX(Python_girdileri!$AM$6:$AM$35,'Zaman'!J9)),IF(Girdiler!$C$8="P90",INDEX(Python_girdileri!$AE$6:$AE$35,'Zaman'!J9),INDEX(Python_girdileri!$W$6:$W$35,'Zaman'!J9))),IF(Girdiler!$C$8="P90",INDEX(Python_girdileri!$O$6:$O$35,'Zaman'!J9),INDEX(Python_girdileri!$G$6:$G$35,'Zaman'!J9))),0)</f>
        <v/>
      </c>
      <c r="K10" s="18">
        <f>IF('Zaman'!K13=1,IF(Girdiler!$C$91=1,IF('Zaman'!K15=1,IF(Girdiler!$C$8="P90",INDEX(Python_girdileri!$AU$6:$AU$35,'Zaman'!K9),INDEX(Python_girdileri!$AM$6:$AM$35,'Zaman'!K9)),IF(Girdiler!$C$8="P90",INDEX(Python_girdileri!$AE$6:$AE$35,'Zaman'!K9),INDEX(Python_girdileri!$W$6:$W$35,'Zaman'!K9))),IF(Girdiler!$C$8="P90",INDEX(Python_girdileri!$O$6:$O$35,'Zaman'!K9),INDEX(Python_girdileri!$G$6:$G$35,'Zaman'!K9))),0)</f>
        <v/>
      </c>
      <c r="L10" s="18">
        <f>IF('Zaman'!L13=1,IF(Girdiler!$C$91=1,IF('Zaman'!L15=1,IF(Girdiler!$C$8="P90",INDEX(Python_girdileri!$AU$6:$AU$35,'Zaman'!L9),INDEX(Python_girdileri!$AM$6:$AM$35,'Zaman'!L9)),IF(Girdiler!$C$8="P90",INDEX(Python_girdileri!$AE$6:$AE$35,'Zaman'!L9),INDEX(Python_girdileri!$W$6:$W$35,'Zaman'!L9))),IF(Girdiler!$C$8="P90",INDEX(Python_girdileri!$O$6:$O$35,'Zaman'!L9),INDEX(Python_girdileri!$G$6:$G$35,'Zaman'!L9))),0)</f>
        <v/>
      </c>
      <c r="M10" s="18">
        <f>IF('Zaman'!M13=1,IF(Girdiler!$C$91=1,IF('Zaman'!M15=1,IF(Girdiler!$C$8="P90",INDEX(Python_girdileri!$AU$6:$AU$35,'Zaman'!M9),INDEX(Python_girdileri!$AM$6:$AM$35,'Zaman'!M9)),IF(Girdiler!$C$8="P90",INDEX(Python_girdileri!$AE$6:$AE$35,'Zaman'!M9),INDEX(Python_girdileri!$W$6:$W$35,'Zaman'!M9))),IF(Girdiler!$C$8="P90",INDEX(Python_girdileri!$O$6:$O$35,'Zaman'!M9),INDEX(Python_girdileri!$G$6:$G$35,'Zaman'!M9))),0)</f>
        <v/>
      </c>
      <c r="N10" s="18">
        <f>IF('Zaman'!N13=1,IF(Girdiler!$C$91=1,IF('Zaman'!N15=1,IF(Girdiler!$C$8="P90",INDEX(Python_girdileri!$AU$6:$AU$35,'Zaman'!N9),INDEX(Python_girdileri!$AM$6:$AM$35,'Zaman'!N9)),IF(Girdiler!$C$8="P90",INDEX(Python_girdileri!$AE$6:$AE$35,'Zaman'!N9),INDEX(Python_girdileri!$W$6:$W$35,'Zaman'!N9))),IF(Girdiler!$C$8="P90",INDEX(Python_girdileri!$O$6:$O$35,'Zaman'!N9),INDEX(Python_girdileri!$G$6:$G$35,'Zaman'!N9))),0)</f>
        <v/>
      </c>
      <c r="O10" s="18">
        <f>IF('Zaman'!O13=1,IF(Girdiler!$C$91=1,IF('Zaman'!O15=1,IF(Girdiler!$C$8="P90",INDEX(Python_girdileri!$AU$6:$AU$35,'Zaman'!O9),INDEX(Python_girdileri!$AM$6:$AM$35,'Zaman'!O9)),IF(Girdiler!$C$8="P90",INDEX(Python_girdileri!$AE$6:$AE$35,'Zaman'!O9),INDEX(Python_girdileri!$W$6:$W$35,'Zaman'!O9))),IF(Girdiler!$C$8="P90",INDEX(Python_girdileri!$O$6:$O$35,'Zaman'!O9),INDEX(Python_girdileri!$G$6:$G$35,'Zaman'!O9))),0)</f>
        <v/>
      </c>
      <c r="P10" s="18">
        <f>IF('Zaman'!P13=1,IF(Girdiler!$C$91=1,IF('Zaman'!P15=1,IF(Girdiler!$C$8="P90",INDEX(Python_girdileri!$AU$6:$AU$35,'Zaman'!P9),INDEX(Python_girdileri!$AM$6:$AM$35,'Zaman'!P9)),IF(Girdiler!$C$8="P90",INDEX(Python_girdileri!$AE$6:$AE$35,'Zaman'!P9),INDEX(Python_girdileri!$W$6:$W$35,'Zaman'!P9))),IF(Girdiler!$C$8="P90",INDEX(Python_girdileri!$O$6:$O$35,'Zaman'!P9),INDEX(Python_girdileri!$G$6:$G$35,'Zaman'!P9))),0)</f>
        <v/>
      </c>
      <c r="Q10" s="18">
        <f>IF('Zaman'!Q13=1,IF(Girdiler!$C$91=1,IF('Zaman'!Q15=1,IF(Girdiler!$C$8="P90",INDEX(Python_girdileri!$AU$6:$AU$35,'Zaman'!Q9),INDEX(Python_girdileri!$AM$6:$AM$35,'Zaman'!Q9)),IF(Girdiler!$C$8="P90",INDEX(Python_girdileri!$AE$6:$AE$35,'Zaman'!Q9),INDEX(Python_girdileri!$W$6:$W$35,'Zaman'!Q9))),IF(Girdiler!$C$8="P90",INDEX(Python_girdileri!$O$6:$O$35,'Zaman'!Q9),INDEX(Python_girdileri!$G$6:$G$35,'Zaman'!Q9))),0)</f>
        <v/>
      </c>
      <c r="R10" s="18">
        <f>IF('Zaman'!R13=1,IF(Girdiler!$C$91=1,IF('Zaman'!R15=1,IF(Girdiler!$C$8="P90",INDEX(Python_girdileri!$AU$6:$AU$35,'Zaman'!R9),INDEX(Python_girdileri!$AM$6:$AM$35,'Zaman'!R9)),IF(Girdiler!$C$8="P90",INDEX(Python_girdileri!$AE$6:$AE$35,'Zaman'!R9),INDEX(Python_girdileri!$W$6:$W$35,'Zaman'!R9))),IF(Girdiler!$C$8="P90",INDEX(Python_girdileri!$O$6:$O$35,'Zaman'!R9),INDEX(Python_girdileri!$G$6:$G$35,'Zaman'!R9))),0)</f>
        <v/>
      </c>
      <c r="S10" s="18">
        <f>IF('Zaman'!S13=1,IF(Girdiler!$C$91=1,IF('Zaman'!S15=1,IF(Girdiler!$C$8="P90",INDEX(Python_girdileri!$AU$6:$AU$35,'Zaman'!S9),INDEX(Python_girdileri!$AM$6:$AM$35,'Zaman'!S9)),IF(Girdiler!$C$8="P90",INDEX(Python_girdileri!$AE$6:$AE$35,'Zaman'!S9),INDEX(Python_girdileri!$W$6:$W$35,'Zaman'!S9))),IF(Girdiler!$C$8="P90",INDEX(Python_girdileri!$O$6:$O$35,'Zaman'!S9),INDEX(Python_girdileri!$G$6:$G$35,'Zaman'!S9))),0)</f>
        <v/>
      </c>
      <c r="T10" s="18">
        <f>IF('Zaman'!T13=1,IF(Girdiler!$C$91=1,IF('Zaman'!T15=1,IF(Girdiler!$C$8="P90",INDEX(Python_girdileri!$AU$6:$AU$35,'Zaman'!T9),INDEX(Python_girdileri!$AM$6:$AM$35,'Zaman'!T9)),IF(Girdiler!$C$8="P90",INDEX(Python_girdileri!$AE$6:$AE$35,'Zaman'!T9),INDEX(Python_girdileri!$W$6:$W$35,'Zaman'!T9))),IF(Girdiler!$C$8="P90",INDEX(Python_girdileri!$O$6:$O$35,'Zaman'!T9),INDEX(Python_girdileri!$G$6:$G$35,'Zaman'!T9))),0)</f>
        <v/>
      </c>
      <c r="U10" s="18">
        <f>IF('Zaman'!U13=1,IF(Girdiler!$C$91=1,IF('Zaman'!U15=1,IF(Girdiler!$C$8="P90",INDEX(Python_girdileri!$AU$6:$AU$35,'Zaman'!U9),INDEX(Python_girdileri!$AM$6:$AM$35,'Zaman'!U9)),IF(Girdiler!$C$8="P90",INDEX(Python_girdileri!$AE$6:$AE$35,'Zaman'!U9),INDEX(Python_girdileri!$W$6:$W$35,'Zaman'!U9))),IF(Girdiler!$C$8="P90",INDEX(Python_girdileri!$O$6:$O$35,'Zaman'!U9),INDEX(Python_girdileri!$G$6:$G$35,'Zaman'!U9))),0)</f>
        <v/>
      </c>
      <c r="V10" s="18">
        <f>IF('Zaman'!V13=1,IF(Girdiler!$C$91=1,IF('Zaman'!V15=1,IF(Girdiler!$C$8="P90",INDEX(Python_girdileri!$AU$6:$AU$35,'Zaman'!V9),INDEX(Python_girdileri!$AM$6:$AM$35,'Zaman'!V9)),IF(Girdiler!$C$8="P90",INDEX(Python_girdileri!$AE$6:$AE$35,'Zaman'!V9),INDEX(Python_girdileri!$W$6:$W$35,'Zaman'!V9))),IF(Girdiler!$C$8="P90",INDEX(Python_girdileri!$O$6:$O$35,'Zaman'!V9),INDEX(Python_girdileri!$G$6:$G$35,'Zaman'!V9))),0)</f>
        <v/>
      </c>
      <c r="W10" s="18">
        <f>IF('Zaman'!W13=1,IF(Girdiler!$C$91=1,IF('Zaman'!W15=1,IF(Girdiler!$C$8="P90",INDEX(Python_girdileri!$AU$6:$AU$35,'Zaman'!W9),INDEX(Python_girdileri!$AM$6:$AM$35,'Zaman'!W9)),IF(Girdiler!$C$8="P90",INDEX(Python_girdileri!$AE$6:$AE$35,'Zaman'!W9),INDEX(Python_girdileri!$W$6:$W$35,'Zaman'!W9))),IF(Girdiler!$C$8="P90",INDEX(Python_girdileri!$O$6:$O$35,'Zaman'!W9),INDEX(Python_girdileri!$G$6:$G$35,'Zaman'!W9))),0)</f>
        <v/>
      </c>
      <c r="X10" s="18">
        <f>IF('Zaman'!X13=1,IF(Girdiler!$C$91=1,IF('Zaman'!X15=1,IF(Girdiler!$C$8="P90",INDEX(Python_girdileri!$AU$6:$AU$35,'Zaman'!X9),INDEX(Python_girdileri!$AM$6:$AM$35,'Zaman'!X9)),IF(Girdiler!$C$8="P90",INDEX(Python_girdileri!$AE$6:$AE$35,'Zaman'!X9),INDEX(Python_girdileri!$W$6:$W$35,'Zaman'!X9))),IF(Girdiler!$C$8="P90",INDEX(Python_girdileri!$O$6:$O$35,'Zaman'!X9),INDEX(Python_girdileri!$G$6:$G$35,'Zaman'!X9))),0)</f>
        <v/>
      </c>
      <c r="Y10" s="18">
        <f>IF('Zaman'!Y13=1,IF(Girdiler!$C$91=1,IF('Zaman'!Y15=1,IF(Girdiler!$C$8="P90",INDEX(Python_girdileri!$AU$6:$AU$35,'Zaman'!Y9),INDEX(Python_girdileri!$AM$6:$AM$35,'Zaman'!Y9)),IF(Girdiler!$C$8="P90",INDEX(Python_girdileri!$AE$6:$AE$35,'Zaman'!Y9),INDEX(Python_girdileri!$W$6:$W$35,'Zaman'!Y9))),IF(Girdiler!$C$8="P90",INDEX(Python_girdileri!$O$6:$O$35,'Zaman'!Y9),INDEX(Python_girdileri!$G$6:$G$35,'Zaman'!Y9))),0)</f>
        <v/>
      </c>
      <c r="Z10" s="18">
        <f>IF('Zaman'!Z13=1,IF(Girdiler!$C$91=1,IF('Zaman'!Z15=1,IF(Girdiler!$C$8="P90",INDEX(Python_girdileri!$AU$6:$AU$35,'Zaman'!Z9),INDEX(Python_girdileri!$AM$6:$AM$35,'Zaman'!Z9)),IF(Girdiler!$C$8="P90",INDEX(Python_girdileri!$AE$6:$AE$35,'Zaman'!Z9),INDEX(Python_girdileri!$W$6:$W$35,'Zaman'!Z9))),IF(Girdiler!$C$8="P90",INDEX(Python_girdileri!$O$6:$O$35,'Zaman'!Z9),INDEX(Python_girdileri!$G$6:$G$35,'Zaman'!Z9))),0)</f>
        <v/>
      </c>
      <c r="AA10" s="18">
        <f>IF('Zaman'!AA13=1,IF(Girdiler!$C$91=1,IF('Zaman'!AA15=1,IF(Girdiler!$C$8="P90",INDEX(Python_girdileri!$AU$6:$AU$35,'Zaman'!AA9),INDEX(Python_girdileri!$AM$6:$AM$35,'Zaman'!AA9)),IF(Girdiler!$C$8="P90",INDEX(Python_girdileri!$AE$6:$AE$35,'Zaman'!AA9),INDEX(Python_girdileri!$W$6:$W$35,'Zaman'!AA9))),IF(Girdiler!$C$8="P90",INDEX(Python_girdileri!$O$6:$O$35,'Zaman'!AA9),INDEX(Python_girdileri!$G$6:$G$35,'Zaman'!AA9))),0)</f>
        <v/>
      </c>
      <c r="AB10" s="18">
        <f>IF('Zaman'!AB13=1,IF(Girdiler!$C$91=1,IF('Zaman'!AB15=1,IF(Girdiler!$C$8="P90",INDEX(Python_girdileri!$AU$6:$AU$35,'Zaman'!AB9),INDEX(Python_girdileri!$AM$6:$AM$35,'Zaman'!AB9)),IF(Girdiler!$C$8="P90",INDEX(Python_girdileri!$AE$6:$AE$35,'Zaman'!AB9),INDEX(Python_girdileri!$W$6:$W$35,'Zaman'!AB9))),IF(Girdiler!$C$8="P90",INDEX(Python_girdileri!$O$6:$O$35,'Zaman'!AB9),INDEX(Python_girdileri!$G$6:$G$35,'Zaman'!AB9))),0)</f>
        <v/>
      </c>
      <c r="AC10" s="18">
        <f>IF('Zaman'!AC13=1,IF(Girdiler!$C$91=1,IF('Zaman'!AC15=1,IF(Girdiler!$C$8="P90",INDEX(Python_girdileri!$AU$6:$AU$35,'Zaman'!AC9),INDEX(Python_girdileri!$AM$6:$AM$35,'Zaman'!AC9)),IF(Girdiler!$C$8="P90",INDEX(Python_girdileri!$AE$6:$AE$35,'Zaman'!AC9),INDEX(Python_girdileri!$W$6:$W$35,'Zaman'!AC9))),IF(Girdiler!$C$8="P90",INDEX(Python_girdileri!$O$6:$O$35,'Zaman'!AC9),INDEX(Python_girdileri!$G$6:$G$35,'Zaman'!AC9))),0)</f>
        <v/>
      </c>
      <c r="AD10" s="18">
        <f>IF('Zaman'!AD13=1,IF(Girdiler!$C$91=1,IF('Zaman'!AD15=1,IF(Girdiler!$C$8="P90",INDEX(Python_girdileri!$AU$6:$AU$35,'Zaman'!AD9),INDEX(Python_girdileri!$AM$6:$AM$35,'Zaman'!AD9)),IF(Girdiler!$C$8="P90",INDEX(Python_girdileri!$AE$6:$AE$35,'Zaman'!AD9),INDEX(Python_girdileri!$W$6:$W$35,'Zaman'!AD9))),IF(Girdiler!$C$8="P90",INDEX(Python_girdileri!$O$6:$O$35,'Zaman'!AD9),INDEX(Python_girdileri!$G$6:$G$35,'Zaman'!AD9))),0)</f>
        <v/>
      </c>
      <c r="AE10" s="18">
        <f>IF('Zaman'!AE13=1,IF(Girdiler!$C$91=1,IF('Zaman'!AE15=1,IF(Girdiler!$C$8="P90",INDEX(Python_girdileri!$AU$6:$AU$35,'Zaman'!AE9),INDEX(Python_girdileri!$AM$6:$AM$35,'Zaman'!AE9)),IF(Girdiler!$C$8="P90",INDEX(Python_girdileri!$AE$6:$AE$35,'Zaman'!AE9),INDEX(Python_girdileri!$W$6:$W$35,'Zaman'!AE9))),IF(Girdiler!$C$8="P90",INDEX(Python_girdileri!$O$6:$O$35,'Zaman'!AE9),INDEX(Python_girdileri!$G$6:$G$35,'Zaman'!AE9))),0)</f>
        <v/>
      </c>
      <c r="AF10" s="18">
        <f>IF('Zaman'!AF13=1,IF(Girdiler!$C$91=1,IF('Zaman'!AF15=1,IF(Girdiler!$C$8="P90",INDEX(Python_girdileri!$AU$6:$AU$35,'Zaman'!AF9),INDEX(Python_girdileri!$AM$6:$AM$35,'Zaman'!AF9)),IF(Girdiler!$C$8="P90",INDEX(Python_girdileri!$AE$6:$AE$35,'Zaman'!AF9),INDEX(Python_girdileri!$W$6:$W$35,'Zaman'!AF9))),IF(Girdiler!$C$8="P90",INDEX(Python_girdileri!$O$6:$O$35,'Zaman'!AF9),INDEX(Python_girdileri!$G$6:$G$35,'Zaman'!AF9))),0)</f>
        <v/>
      </c>
      <c r="AG10" s="18">
        <f>IF('Zaman'!AG13=1,IF(Girdiler!$C$91=1,IF('Zaman'!AG15=1,IF(Girdiler!$C$8="P90",INDEX(Python_girdileri!$AU$6:$AU$35,'Zaman'!AG9),INDEX(Python_girdileri!$AM$6:$AM$35,'Zaman'!AG9)),IF(Girdiler!$C$8="P90",INDEX(Python_girdileri!$AE$6:$AE$35,'Zaman'!AG9),INDEX(Python_girdileri!$W$6:$W$35,'Zaman'!AG9))),IF(Girdiler!$C$8="P90",INDEX(Python_girdileri!$O$6:$O$35,'Zaman'!AG9),INDEX(Python_girdileri!$G$6:$G$35,'Zaman'!AG9))),0)</f>
        <v/>
      </c>
      <c r="AH10" s="18">
        <f>IF('Zaman'!AH13=1,IF(Girdiler!$C$91=1,IF('Zaman'!AH15=1,IF(Girdiler!$C$8="P90",INDEX(Python_girdileri!$AU$6:$AU$35,'Zaman'!AH9),INDEX(Python_girdileri!$AM$6:$AM$35,'Zaman'!AH9)),IF(Girdiler!$C$8="P90",INDEX(Python_girdileri!$AE$6:$AE$35,'Zaman'!AH9),INDEX(Python_girdileri!$W$6:$W$35,'Zaman'!AH9))),IF(Girdiler!$C$8="P90",INDEX(Python_girdileri!$O$6:$O$35,'Zaman'!AH9),INDEX(Python_girdileri!$G$6:$G$35,'Zaman'!AH9))),0)</f>
        <v/>
      </c>
      <c r="AI10" s="18">
        <f>IF('Zaman'!AI13=1,IF(Girdiler!$C$91=1,IF('Zaman'!AI15=1,IF(Girdiler!$C$8="P90",INDEX(Python_girdileri!$AU$6:$AU$35,'Zaman'!AI9),INDEX(Python_girdileri!$AM$6:$AM$35,'Zaman'!AI9)),IF(Girdiler!$C$8="P90",INDEX(Python_girdileri!$AE$6:$AE$35,'Zaman'!AI9),INDEX(Python_girdileri!$W$6:$W$35,'Zaman'!AI9))),IF(Girdiler!$C$8="P90",INDEX(Python_girdileri!$O$6:$O$35,'Zaman'!AI9),INDEX(Python_girdileri!$G$6:$G$35,'Zaman'!AI9))),0)</f>
        <v/>
      </c>
      <c r="AJ10" s="18">
        <f>IF('Zaman'!AJ13=1,IF(Girdiler!$C$91=1,IF('Zaman'!AJ15=1,IF(Girdiler!$C$8="P90",INDEX(Python_girdileri!$AU$6:$AU$35,'Zaman'!AJ9),INDEX(Python_girdileri!$AM$6:$AM$35,'Zaman'!AJ9)),IF(Girdiler!$C$8="P90",INDEX(Python_girdileri!$AE$6:$AE$35,'Zaman'!AJ9),INDEX(Python_girdileri!$W$6:$W$35,'Zaman'!AJ9))),IF(Girdiler!$C$8="P90",INDEX(Python_girdileri!$O$6:$O$35,'Zaman'!AJ9),INDEX(Python_girdileri!$G$6:$G$35,'Zaman'!AJ9))),0)</f>
        <v/>
      </c>
      <c r="AK10" s="18">
        <f>IF('Zaman'!AK13=1,IF(Girdiler!$C$91=1,IF('Zaman'!AK15=1,IF(Girdiler!$C$8="P90",INDEX(Python_girdileri!$AU$6:$AU$35,'Zaman'!AK9),INDEX(Python_girdileri!$AM$6:$AM$35,'Zaman'!AK9)),IF(Girdiler!$C$8="P90",INDEX(Python_girdileri!$AE$6:$AE$35,'Zaman'!AK9),INDEX(Python_girdileri!$W$6:$W$35,'Zaman'!AK9))),IF(Girdiler!$C$8="P90",INDEX(Python_girdileri!$O$6:$O$35,'Zaman'!AK9),INDEX(Python_girdileri!$G$6:$G$35,'Zaman'!AK9))),0)</f>
        <v/>
      </c>
      <c r="AL10" s="18">
        <f>IF('Zaman'!AL13=1,IF(Girdiler!$C$91=1,IF('Zaman'!AL15=1,IF(Girdiler!$C$8="P90",INDEX(Python_girdileri!$AU$6:$AU$35,'Zaman'!AL9),INDEX(Python_girdileri!$AM$6:$AM$35,'Zaman'!AL9)),IF(Girdiler!$C$8="P90",INDEX(Python_girdileri!$AE$6:$AE$35,'Zaman'!AL9),INDEX(Python_girdileri!$W$6:$W$35,'Zaman'!AL9))),IF(Girdiler!$C$8="P90",INDEX(Python_girdileri!$O$6:$O$35,'Zaman'!AL9),INDEX(Python_girdileri!$G$6:$G$35,'Zaman'!AL9))),0)</f>
        <v/>
      </c>
      <c r="AM10" s="18">
        <f>IF('Zaman'!AM13=1,IF(Girdiler!$C$91=1,IF('Zaman'!AM15=1,IF(Girdiler!$C$8="P90",INDEX(Python_girdileri!$AU$6:$AU$35,'Zaman'!AM9),INDEX(Python_girdileri!$AM$6:$AM$35,'Zaman'!AM9)),IF(Girdiler!$C$8="P90",INDEX(Python_girdileri!$AE$6:$AE$35,'Zaman'!AM9),INDEX(Python_girdileri!$W$6:$W$35,'Zaman'!AM9))),IF(Girdiler!$C$8="P90",INDEX(Python_girdileri!$O$6:$O$35,'Zaman'!AM9),INDEX(Python_girdileri!$G$6:$G$35,'Zaman'!AM9))),0)</f>
        <v/>
      </c>
      <c r="AN10" s="18">
        <f>IF('Zaman'!AN13=1,IF(Girdiler!$C$91=1,IF('Zaman'!AN15=1,IF(Girdiler!$C$8="P90",INDEX(Python_girdileri!$AU$6:$AU$35,'Zaman'!AN9),INDEX(Python_girdileri!$AM$6:$AM$35,'Zaman'!AN9)),IF(Girdiler!$C$8="P90",INDEX(Python_girdileri!$AE$6:$AE$35,'Zaman'!AN9),INDEX(Python_girdileri!$W$6:$W$35,'Zaman'!AN9))),IF(Girdiler!$C$8="P90",INDEX(Python_girdileri!$O$6:$O$35,'Zaman'!AN9),INDEX(Python_girdileri!$G$6:$G$35,'Zaman'!AN9))),0)</f>
        <v/>
      </c>
      <c r="AO10" s="18">
        <f>IF('Zaman'!AO13=1,IF(Girdiler!$C$91=1,IF('Zaman'!AO15=1,IF(Girdiler!$C$8="P90",INDEX(Python_girdileri!$AU$6:$AU$35,'Zaman'!AO9),INDEX(Python_girdileri!$AM$6:$AM$35,'Zaman'!AO9)),IF(Girdiler!$C$8="P90",INDEX(Python_girdileri!$AE$6:$AE$35,'Zaman'!AO9),INDEX(Python_girdileri!$W$6:$W$35,'Zaman'!AO9))),IF(Girdiler!$C$8="P90",INDEX(Python_girdileri!$O$6:$O$35,'Zaman'!AO9),INDEX(Python_girdileri!$G$6:$G$35,'Zaman'!AO9))),0)</f>
        <v/>
      </c>
      <c r="AP10" s="18">
        <f>IF('Zaman'!AP13=1,IF(Girdiler!$C$91=1,IF('Zaman'!AP15=1,IF(Girdiler!$C$8="P90",INDEX(Python_girdileri!$AU$6:$AU$35,'Zaman'!AP9),INDEX(Python_girdileri!$AM$6:$AM$35,'Zaman'!AP9)),IF(Girdiler!$C$8="P90",INDEX(Python_girdileri!$AE$6:$AE$35,'Zaman'!AP9),INDEX(Python_girdileri!$W$6:$W$35,'Zaman'!AP9))),IF(Girdiler!$C$8="P90",INDEX(Python_girdileri!$O$6:$O$35,'Zaman'!AP9),INDEX(Python_girdileri!$G$6:$G$35,'Zaman'!AP9))),0)</f>
        <v/>
      </c>
      <c r="AQ10" s="18">
        <f>IF('Zaman'!AQ13=1,IF(Girdiler!$C$91=1,IF('Zaman'!AQ15=1,IF(Girdiler!$C$8="P90",INDEX(Python_girdileri!$AU$6:$AU$35,'Zaman'!AQ9),INDEX(Python_girdileri!$AM$6:$AM$35,'Zaman'!AQ9)),IF(Girdiler!$C$8="P90",INDEX(Python_girdileri!$AE$6:$AE$35,'Zaman'!AQ9),INDEX(Python_girdileri!$W$6:$W$35,'Zaman'!AQ9))),IF(Girdiler!$C$8="P90",INDEX(Python_girdileri!$O$6:$O$35,'Zaman'!AQ9),INDEX(Python_girdileri!$G$6:$G$35,'Zaman'!AQ9))),0)</f>
        <v/>
      </c>
      <c r="AR10" s="18">
        <f>IF('Zaman'!AR13=1,IF(Girdiler!$C$91=1,IF('Zaman'!AR15=1,IF(Girdiler!$C$8="P90",INDEX(Python_girdileri!$AU$6:$AU$35,'Zaman'!AR9),INDEX(Python_girdileri!$AM$6:$AM$35,'Zaman'!AR9)),IF(Girdiler!$C$8="P90",INDEX(Python_girdileri!$AE$6:$AE$35,'Zaman'!AR9),INDEX(Python_girdileri!$W$6:$W$35,'Zaman'!AR9))),IF(Girdiler!$C$8="P90",INDEX(Python_girdileri!$O$6:$O$35,'Zaman'!AR9),INDEX(Python_girdileri!$G$6:$G$35,'Zaman'!AR9))),0)</f>
        <v/>
      </c>
    </row>
    <row r="11">
      <c r="A11" t="inlineStr">
        <is>
          <t>E_d</t>
        </is>
      </c>
      <c r="B11" t="inlineStr">
        <is>
          <t>MWh</t>
        </is>
      </c>
      <c r="C11" t="inlineStr">
        <is>
          <t>Python_girdileri (rejim: katılıma göre Y1/Y0, aksi T)</t>
        </is>
      </c>
      <c r="D11" s="18">
        <f>SUM(F11:AR11)</f>
        <v/>
      </c>
      <c r="E11" s="18" t="n">
        <v>0</v>
      </c>
      <c r="F11" s="18">
        <f>IF('Zaman'!F13=1,IF(Girdiler!$C$91=1,IF('Zaman'!F15=1,IF(Girdiler!$C$8="P90",INDEX(Python_girdileri!$AV$6:$AV$35,'Zaman'!F9),INDEX(Python_girdileri!$AN$6:$AN$35,'Zaman'!F9)),IF(Girdiler!$C$8="P90",INDEX(Python_girdileri!$AF$6:$AF$35,'Zaman'!F9),INDEX(Python_girdileri!$X$6:$X$35,'Zaman'!F9))),IF(Girdiler!$C$8="P90",INDEX(Python_girdileri!$P$6:$P$35,'Zaman'!F9),INDEX(Python_girdileri!$H$6:$H$35,'Zaman'!F9))),0)</f>
        <v/>
      </c>
      <c r="G11" s="18">
        <f>IF('Zaman'!G13=1,IF(Girdiler!$C$91=1,IF('Zaman'!G15=1,IF(Girdiler!$C$8="P90",INDEX(Python_girdileri!$AV$6:$AV$35,'Zaman'!G9),INDEX(Python_girdileri!$AN$6:$AN$35,'Zaman'!G9)),IF(Girdiler!$C$8="P90",INDEX(Python_girdileri!$AF$6:$AF$35,'Zaman'!G9),INDEX(Python_girdileri!$X$6:$X$35,'Zaman'!G9))),IF(Girdiler!$C$8="P90",INDEX(Python_girdileri!$P$6:$P$35,'Zaman'!G9),INDEX(Python_girdileri!$H$6:$H$35,'Zaman'!G9))),0)</f>
        <v/>
      </c>
      <c r="H11" s="18">
        <f>IF('Zaman'!H13=1,IF(Girdiler!$C$91=1,IF('Zaman'!H15=1,IF(Girdiler!$C$8="P90",INDEX(Python_girdileri!$AV$6:$AV$35,'Zaman'!H9),INDEX(Python_girdileri!$AN$6:$AN$35,'Zaman'!H9)),IF(Girdiler!$C$8="P90",INDEX(Python_girdileri!$AF$6:$AF$35,'Zaman'!H9),INDEX(Python_girdileri!$X$6:$X$35,'Zaman'!H9))),IF(Girdiler!$C$8="P90",INDEX(Python_girdileri!$P$6:$P$35,'Zaman'!H9),INDEX(Python_girdileri!$H$6:$H$35,'Zaman'!H9))),0)</f>
        <v/>
      </c>
      <c r="I11" s="18">
        <f>IF('Zaman'!I13=1,IF(Girdiler!$C$91=1,IF('Zaman'!I15=1,IF(Girdiler!$C$8="P90",INDEX(Python_girdileri!$AV$6:$AV$35,'Zaman'!I9),INDEX(Python_girdileri!$AN$6:$AN$35,'Zaman'!I9)),IF(Girdiler!$C$8="P90",INDEX(Python_girdileri!$AF$6:$AF$35,'Zaman'!I9),INDEX(Python_girdileri!$X$6:$X$35,'Zaman'!I9))),IF(Girdiler!$C$8="P90",INDEX(Python_girdileri!$P$6:$P$35,'Zaman'!I9),INDEX(Python_girdileri!$H$6:$H$35,'Zaman'!I9))),0)</f>
        <v/>
      </c>
      <c r="J11" s="18">
        <f>IF('Zaman'!J13=1,IF(Girdiler!$C$91=1,IF('Zaman'!J15=1,IF(Girdiler!$C$8="P90",INDEX(Python_girdileri!$AV$6:$AV$35,'Zaman'!J9),INDEX(Python_girdileri!$AN$6:$AN$35,'Zaman'!J9)),IF(Girdiler!$C$8="P90",INDEX(Python_girdileri!$AF$6:$AF$35,'Zaman'!J9),INDEX(Python_girdileri!$X$6:$X$35,'Zaman'!J9))),IF(Girdiler!$C$8="P90",INDEX(Python_girdileri!$P$6:$P$35,'Zaman'!J9),INDEX(Python_girdileri!$H$6:$H$35,'Zaman'!J9))),0)</f>
        <v/>
      </c>
      <c r="K11" s="18">
        <f>IF('Zaman'!K13=1,IF(Girdiler!$C$91=1,IF('Zaman'!K15=1,IF(Girdiler!$C$8="P90",INDEX(Python_girdileri!$AV$6:$AV$35,'Zaman'!K9),INDEX(Python_girdileri!$AN$6:$AN$35,'Zaman'!K9)),IF(Girdiler!$C$8="P90",INDEX(Python_girdileri!$AF$6:$AF$35,'Zaman'!K9),INDEX(Python_girdileri!$X$6:$X$35,'Zaman'!K9))),IF(Girdiler!$C$8="P90",INDEX(Python_girdileri!$P$6:$P$35,'Zaman'!K9),INDEX(Python_girdileri!$H$6:$H$35,'Zaman'!K9))),0)</f>
        <v/>
      </c>
      <c r="L11" s="18">
        <f>IF('Zaman'!L13=1,IF(Girdiler!$C$91=1,IF('Zaman'!L15=1,IF(Girdiler!$C$8="P90",INDEX(Python_girdileri!$AV$6:$AV$35,'Zaman'!L9),INDEX(Python_girdileri!$AN$6:$AN$35,'Zaman'!L9)),IF(Girdiler!$C$8="P90",INDEX(Python_girdileri!$AF$6:$AF$35,'Zaman'!L9),INDEX(Python_girdileri!$X$6:$X$35,'Zaman'!L9))),IF(Girdiler!$C$8="P90",INDEX(Python_girdileri!$P$6:$P$35,'Zaman'!L9),INDEX(Python_girdileri!$H$6:$H$35,'Zaman'!L9))),0)</f>
        <v/>
      </c>
      <c r="M11" s="18">
        <f>IF('Zaman'!M13=1,IF(Girdiler!$C$91=1,IF('Zaman'!M15=1,IF(Girdiler!$C$8="P90",INDEX(Python_girdileri!$AV$6:$AV$35,'Zaman'!M9),INDEX(Python_girdileri!$AN$6:$AN$35,'Zaman'!M9)),IF(Girdiler!$C$8="P90",INDEX(Python_girdileri!$AF$6:$AF$35,'Zaman'!M9),INDEX(Python_girdileri!$X$6:$X$35,'Zaman'!M9))),IF(Girdiler!$C$8="P90",INDEX(Python_girdileri!$P$6:$P$35,'Zaman'!M9),INDEX(Python_girdileri!$H$6:$H$35,'Zaman'!M9))),0)</f>
        <v/>
      </c>
      <c r="N11" s="18">
        <f>IF('Zaman'!N13=1,IF(Girdiler!$C$91=1,IF('Zaman'!N15=1,IF(Girdiler!$C$8="P90",INDEX(Python_girdileri!$AV$6:$AV$35,'Zaman'!N9),INDEX(Python_girdileri!$AN$6:$AN$35,'Zaman'!N9)),IF(Girdiler!$C$8="P90",INDEX(Python_girdileri!$AF$6:$AF$35,'Zaman'!N9),INDEX(Python_girdileri!$X$6:$X$35,'Zaman'!N9))),IF(Girdiler!$C$8="P90",INDEX(Python_girdileri!$P$6:$P$35,'Zaman'!N9),INDEX(Python_girdileri!$H$6:$H$35,'Zaman'!N9))),0)</f>
        <v/>
      </c>
      <c r="O11" s="18">
        <f>IF('Zaman'!O13=1,IF(Girdiler!$C$91=1,IF('Zaman'!O15=1,IF(Girdiler!$C$8="P90",INDEX(Python_girdileri!$AV$6:$AV$35,'Zaman'!O9),INDEX(Python_girdileri!$AN$6:$AN$35,'Zaman'!O9)),IF(Girdiler!$C$8="P90",INDEX(Python_girdileri!$AF$6:$AF$35,'Zaman'!O9),INDEX(Python_girdileri!$X$6:$X$35,'Zaman'!O9))),IF(Girdiler!$C$8="P90",INDEX(Python_girdileri!$P$6:$P$35,'Zaman'!O9),INDEX(Python_girdileri!$H$6:$H$35,'Zaman'!O9))),0)</f>
        <v/>
      </c>
      <c r="P11" s="18">
        <f>IF('Zaman'!P13=1,IF(Girdiler!$C$91=1,IF('Zaman'!P15=1,IF(Girdiler!$C$8="P90",INDEX(Python_girdileri!$AV$6:$AV$35,'Zaman'!P9),INDEX(Python_girdileri!$AN$6:$AN$35,'Zaman'!P9)),IF(Girdiler!$C$8="P90",INDEX(Python_girdileri!$AF$6:$AF$35,'Zaman'!P9),INDEX(Python_girdileri!$X$6:$X$35,'Zaman'!P9))),IF(Girdiler!$C$8="P90",INDEX(Python_girdileri!$P$6:$P$35,'Zaman'!P9),INDEX(Python_girdileri!$H$6:$H$35,'Zaman'!P9))),0)</f>
        <v/>
      </c>
      <c r="Q11" s="18">
        <f>IF('Zaman'!Q13=1,IF(Girdiler!$C$91=1,IF('Zaman'!Q15=1,IF(Girdiler!$C$8="P90",INDEX(Python_girdileri!$AV$6:$AV$35,'Zaman'!Q9),INDEX(Python_girdileri!$AN$6:$AN$35,'Zaman'!Q9)),IF(Girdiler!$C$8="P90",INDEX(Python_girdileri!$AF$6:$AF$35,'Zaman'!Q9),INDEX(Python_girdileri!$X$6:$X$35,'Zaman'!Q9))),IF(Girdiler!$C$8="P90",INDEX(Python_girdileri!$P$6:$P$35,'Zaman'!Q9),INDEX(Python_girdileri!$H$6:$H$35,'Zaman'!Q9))),0)</f>
        <v/>
      </c>
      <c r="R11" s="18">
        <f>IF('Zaman'!R13=1,IF(Girdiler!$C$91=1,IF('Zaman'!R15=1,IF(Girdiler!$C$8="P90",INDEX(Python_girdileri!$AV$6:$AV$35,'Zaman'!R9),INDEX(Python_girdileri!$AN$6:$AN$35,'Zaman'!R9)),IF(Girdiler!$C$8="P90",INDEX(Python_girdileri!$AF$6:$AF$35,'Zaman'!R9),INDEX(Python_girdileri!$X$6:$X$35,'Zaman'!R9))),IF(Girdiler!$C$8="P90",INDEX(Python_girdileri!$P$6:$P$35,'Zaman'!R9),INDEX(Python_girdileri!$H$6:$H$35,'Zaman'!R9))),0)</f>
        <v/>
      </c>
      <c r="S11" s="18">
        <f>IF('Zaman'!S13=1,IF(Girdiler!$C$91=1,IF('Zaman'!S15=1,IF(Girdiler!$C$8="P90",INDEX(Python_girdileri!$AV$6:$AV$35,'Zaman'!S9),INDEX(Python_girdileri!$AN$6:$AN$35,'Zaman'!S9)),IF(Girdiler!$C$8="P90",INDEX(Python_girdileri!$AF$6:$AF$35,'Zaman'!S9),INDEX(Python_girdileri!$X$6:$X$35,'Zaman'!S9))),IF(Girdiler!$C$8="P90",INDEX(Python_girdileri!$P$6:$P$35,'Zaman'!S9),INDEX(Python_girdileri!$H$6:$H$35,'Zaman'!S9))),0)</f>
        <v/>
      </c>
      <c r="T11" s="18">
        <f>IF('Zaman'!T13=1,IF(Girdiler!$C$91=1,IF('Zaman'!T15=1,IF(Girdiler!$C$8="P90",INDEX(Python_girdileri!$AV$6:$AV$35,'Zaman'!T9),INDEX(Python_girdileri!$AN$6:$AN$35,'Zaman'!T9)),IF(Girdiler!$C$8="P90",INDEX(Python_girdileri!$AF$6:$AF$35,'Zaman'!T9),INDEX(Python_girdileri!$X$6:$X$35,'Zaman'!T9))),IF(Girdiler!$C$8="P90",INDEX(Python_girdileri!$P$6:$P$35,'Zaman'!T9),INDEX(Python_girdileri!$H$6:$H$35,'Zaman'!T9))),0)</f>
        <v/>
      </c>
      <c r="U11" s="18">
        <f>IF('Zaman'!U13=1,IF(Girdiler!$C$91=1,IF('Zaman'!U15=1,IF(Girdiler!$C$8="P90",INDEX(Python_girdileri!$AV$6:$AV$35,'Zaman'!U9),INDEX(Python_girdileri!$AN$6:$AN$35,'Zaman'!U9)),IF(Girdiler!$C$8="P90",INDEX(Python_girdileri!$AF$6:$AF$35,'Zaman'!U9),INDEX(Python_girdileri!$X$6:$X$35,'Zaman'!U9))),IF(Girdiler!$C$8="P90",INDEX(Python_girdileri!$P$6:$P$35,'Zaman'!U9),INDEX(Python_girdileri!$H$6:$H$35,'Zaman'!U9))),0)</f>
        <v/>
      </c>
      <c r="V11" s="18">
        <f>IF('Zaman'!V13=1,IF(Girdiler!$C$91=1,IF('Zaman'!V15=1,IF(Girdiler!$C$8="P90",INDEX(Python_girdileri!$AV$6:$AV$35,'Zaman'!V9),INDEX(Python_girdileri!$AN$6:$AN$35,'Zaman'!V9)),IF(Girdiler!$C$8="P90",INDEX(Python_girdileri!$AF$6:$AF$35,'Zaman'!V9),INDEX(Python_girdileri!$X$6:$X$35,'Zaman'!V9))),IF(Girdiler!$C$8="P90",INDEX(Python_girdileri!$P$6:$P$35,'Zaman'!V9),INDEX(Python_girdileri!$H$6:$H$35,'Zaman'!V9))),0)</f>
        <v/>
      </c>
      <c r="W11" s="18">
        <f>IF('Zaman'!W13=1,IF(Girdiler!$C$91=1,IF('Zaman'!W15=1,IF(Girdiler!$C$8="P90",INDEX(Python_girdileri!$AV$6:$AV$35,'Zaman'!W9),INDEX(Python_girdileri!$AN$6:$AN$35,'Zaman'!W9)),IF(Girdiler!$C$8="P90",INDEX(Python_girdileri!$AF$6:$AF$35,'Zaman'!W9),INDEX(Python_girdileri!$X$6:$X$35,'Zaman'!W9))),IF(Girdiler!$C$8="P90",INDEX(Python_girdileri!$P$6:$P$35,'Zaman'!W9),INDEX(Python_girdileri!$H$6:$H$35,'Zaman'!W9))),0)</f>
        <v/>
      </c>
      <c r="X11" s="18">
        <f>IF('Zaman'!X13=1,IF(Girdiler!$C$91=1,IF('Zaman'!X15=1,IF(Girdiler!$C$8="P90",INDEX(Python_girdileri!$AV$6:$AV$35,'Zaman'!X9),INDEX(Python_girdileri!$AN$6:$AN$35,'Zaman'!X9)),IF(Girdiler!$C$8="P90",INDEX(Python_girdileri!$AF$6:$AF$35,'Zaman'!X9),INDEX(Python_girdileri!$X$6:$X$35,'Zaman'!X9))),IF(Girdiler!$C$8="P90",INDEX(Python_girdileri!$P$6:$P$35,'Zaman'!X9),INDEX(Python_girdileri!$H$6:$H$35,'Zaman'!X9))),0)</f>
        <v/>
      </c>
      <c r="Y11" s="18">
        <f>IF('Zaman'!Y13=1,IF(Girdiler!$C$91=1,IF('Zaman'!Y15=1,IF(Girdiler!$C$8="P90",INDEX(Python_girdileri!$AV$6:$AV$35,'Zaman'!Y9),INDEX(Python_girdileri!$AN$6:$AN$35,'Zaman'!Y9)),IF(Girdiler!$C$8="P90",INDEX(Python_girdileri!$AF$6:$AF$35,'Zaman'!Y9),INDEX(Python_girdileri!$X$6:$X$35,'Zaman'!Y9))),IF(Girdiler!$C$8="P90",INDEX(Python_girdileri!$P$6:$P$35,'Zaman'!Y9),INDEX(Python_girdileri!$H$6:$H$35,'Zaman'!Y9))),0)</f>
        <v/>
      </c>
      <c r="Z11" s="18">
        <f>IF('Zaman'!Z13=1,IF(Girdiler!$C$91=1,IF('Zaman'!Z15=1,IF(Girdiler!$C$8="P90",INDEX(Python_girdileri!$AV$6:$AV$35,'Zaman'!Z9),INDEX(Python_girdileri!$AN$6:$AN$35,'Zaman'!Z9)),IF(Girdiler!$C$8="P90",INDEX(Python_girdileri!$AF$6:$AF$35,'Zaman'!Z9),INDEX(Python_girdileri!$X$6:$X$35,'Zaman'!Z9))),IF(Girdiler!$C$8="P90",INDEX(Python_girdileri!$P$6:$P$35,'Zaman'!Z9),INDEX(Python_girdileri!$H$6:$H$35,'Zaman'!Z9))),0)</f>
        <v/>
      </c>
      <c r="AA11" s="18">
        <f>IF('Zaman'!AA13=1,IF(Girdiler!$C$91=1,IF('Zaman'!AA15=1,IF(Girdiler!$C$8="P90",INDEX(Python_girdileri!$AV$6:$AV$35,'Zaman'!AA9),INDEX(Python_girdileri!$AN$6:$AN$35,'Zaman'!AA9)),IF(Girdiler!$C$8="P90",INDEX(Python_girdileri!$AF$6:$AF$35,'Zaman'!AA9),INDEX(Python_girdileri!$X$6:$X$35,'Zaman'!AA9))),IF(Girdiler!$C$8="P90",INDEX(Python_girdileri!$P$6:$P$35,'Zaman'!AA9),INDEX(Python_girdileri!$H$6:$H$35,'Zaman'!AA9))),0)</f>
        <v/>
      </c>
      <c r="AB11" s="18">
        <f>IF('Zaman'!AB13=1,IF(Girdiler!$C$91=1,IF('Zaman'!AB15=1,IF(Girdiler!$C$8="P90",INDEX(Python_girdileri!$AV$6:$AV$35,'Zaman'!AB9),INDEX(Python_girdileri!$AN$6:$AN$35,'Zaman'!AB9)),IF(Girdiler!$C$8="P90",INDEX(Python_girdileri!$AF$6:$AF$35,'Zaman'!AB9),INDEX(Python_girdileri!$X$6:$X$35,'Zaman'!AB9))),IF(Girdiler!$C$8="P90",INDEX(Python_girdileri!$P$6:$P$35,'Zaman'!AB9),INDEX(Python_girdileri!$H$6:$H$35,'Zaman'!AB9))),0)</f>
        <v/>
      </c>
      <c r="AC11" s="18">
        <f>IF('Zaman'!AC13=1,IF(Girdiler!$C$91=1,IF('Zaman'!AC15=1,IF(Girdiler!$C$8="P90",INDEX(Python_girdileri!$AV$6:$AV$35,'Zaman'!AC9),INDEX(Python_girdileri!$AN$6:$AN$35,'Zaman'!AC9)),IF(Girdiler!$C$8="P90",INDEX(Python_girdileri!$AF$6:$AF$35,'Zaman'!AC9),INDEX(Python_girdileri!$X$6:$X$35,'Zaman'!AC9))),IF(Girdiler!$C$8="P90",INDEX(Python_girdileri!$P$6:$P$35,'Zaman'!AC9),INDEX(Python_girdileri!$H$6:$H$35,'Zaman'!AC9))),0)</f>
        <v/>
      </c>
      <c r="AD11" s="18">
        <f>IF('Zaman'!AD13=1,IF(Girdiler!$C$91=1,IF('Zaman'!AD15=1,IF(Girdiler!$C$8="P90",INDEX(Python_girdileri!$AV$6:$AV$35,'Zaman'!AD9),INDEX(Python_girdileri!$AN$6:$AN$35,'Zaman'!AD9)),IF(Girdiler!$C$8="P90",INDEX(Python_girdileri!$AF$6:$AF$35,'Zaman'!AD9),INDEX(Python_girdileri!$X$6:$X$35,'Zaman'!AD9))),IF(Girdiler!$C$8="P90",INDEX(Python_girdileri!$P$6:$P$35,'Zaman'!AD9),INDEX(Python_girdileri!$H$6:$H$35,'Zaman'!AD9))),0)</f>
        <v/>
      </c>
      <c r="AE11" s="18">
        <f>IF('Zaman'!AE13=1,IF(Girdiler!$C$91=1,IF('Zaman'!AE15=1,IF(Girdiler!$C$8="P90",INDEX(Python_girdileri!$AV$6:$AV$35,'Zaman'!AE9),INDEX(Python_girdileri!$AN$6:$AN$35,'Zaman'!AE9)),IF(Girdiler!$C$8="P90",INDEX(Python_girdileri!$AF$6:$AF$35,'Zaman'!AE9),INDEX(Python_girdileri!$X$6:$X$35,'Zaman'!AE9))),IF(Girdiler!$C$8="P90",INDEX(Python_girdileri!$P$6:$P$35,'Zaman'!AE9),INDEX(Python_girdileri!$H$6:$H$35,'Zaman'!AE9))),0)</f>
        <v/>
      </c>
      <c r="AF11" s="18">
        <f>IF('Zaman'!AF13=1,IF(Girdiler!$C$91=1,IF('Zaman'!AF15=1,IF(Girdiler!$C$8="P90",INDEX(Python_girdileri!$AV$6:$AV$35,'Zaman'!AF9),INDEX(Python_girdileri!$AN$6:$AN$35,'Zaman'!AF9)),IF(Girdiler!$C$8="P90",INDEX(Python_girdileri!$AF$6:$AF$35,'Zaman'!AF9),INDEX(Python_girdileri!$X$6:$X$35,'Zaman'!AF9))),IF(Girdiler!$C$8="P90",INDEX(Python_girdileri!$P$6:$P$35,'Zaman'!AF9),INDEX(Python_girdileri!$H$6:$H$35,'Zaman'!AF9))),0)</f>
        <v/>
      </c>
      <c r="AG11" s="18">
        <f>IF('Zaman'!AG13=1,IF(Girdiler!$C$91=1,IF('Zaman'!AG15=1,IF(Girdiler!$C$8="P90",INDEX(Python_girdileri!$AV$6:$AV$35,'Zaman'!AG9),INDEX(Python_girdileri!$AN$6:$AN$35,'Zaman'!AG9)),IF(Girdiler!$C$8="P90",INDEX(Python_girdileri!$AF$6:$AF$35,'Zaman'!AG9),INDEX(Python_girdileri!$X$6:$X$35,'Zaman'!AG9))),IF(Girdiler!$C$8="P90",INDEX(Python_girdileri!$P$6:$P$35,'Zaman'!AG9),INDEX(Python_girdileri!$H$6:$H$35,'Zaman'!AG9))),0)</f>
        <v/>
      </c>
      <c r="AH11" s="18">
        <f>IF('Zaman'!AH13=1,IF(Girdiler!$C$91=1,IF('Zaman'!AH15=1,IF(Girdiler!$C$8="P90",INDEX(Python_girdileri!$AV$6:$AV$35,'Zaman'!AH9),INDEX(Python_girdileri!$AN$6:$AN$35,'Zaman'!AH9)),IF(Girdiler!$C$8="P90",INDEX(Python_girdileri!$AF$6:$AF$35,'Zaman'!AH9),INDEX(Python_girdileri!$X$6:$X$35,'Zaman'!AH9))),IF(Girdiler!$C$8="P90",INDEX(Python_girdileri!$P$6:$P$35,'Zaman'!AH9),INDEX(Python_girdileri!$H$6:$H$35,'Zaman'!AH9))),0)</f>
        <v/>
      </c>
      <c r="AI11" s="18">
        <f>IF('Zaman'!AI13=1,IF(Girdiler!$C$91=1,IF('Zaman'!AI15=1,IF(Girdiler!$C$8="P90",INDEX(Python_girdileri!$AV$6:$AV$35,'Zaman'!AI9),INDEX(Python_girdileri!$AN$6:$AN$35,'Zaman'!AI9)),IF(Girdiler!$C$8="P90",INDEX(Python_girdileri!$AF$6:$AF$35,'Zaman'!AI9),INDEX(Python_girdileri!$X$6:$X$35,'Zaman'!AI9))),IF(Girdiler!$C$8="P90",INDEX(Python_girdileri!$P$6:$P$35,'Zaman'!AI9),INDEX(Python_girdileri!$H$6:$H$35,'Zaman'!AI9))),0)</f>
        <v/>
      </c>
      <c r="AJ11" s="18">
        <f>IF('Zaman'!AJ13=1,IF(Girdiler!$C$91=1,IF('Zaman'!AJ15=1,IF(Girdiler!$C$8="P90",INDEX(Python_girdileri!$AV$6:$AV$35,'Zaman'!AJ9),INDEX(Python_girdileri!$AN$6:$AN$35,'Zaman'!AJ9)),IF(Girdiler!$C$8="P90",INDEX(Python_girdileri!$AF$6:$AF$35,'Zaman'!AJ9),INDEX(Python_girdileri!$X$6:$X$35,'Zaman'!AJ9))),IF(Girdiler!$C$8="P90",INDEX(Python_girdileri!$P$6:$P$35,'Zaman'!AJ9),INDEX(Python_girdileri!$H$6:$H$35,'Zaman'!AJ9))),0)</f>
        <v/>
      </c>
      <c r="AK11" s="18">
        <f>IF('Zaman'!AK13=1,IF(Girdiler!$C$91=1,IF('Zaman'!AK15=1,IF(Girdiler!$C$8="P90",INDEX(Python_girdileri!$AV$6:$AV$35,'Zaman'!AK9),INDEX(Python_girdileri!$AN$6:$AN$35,'Zaman'!AK9)),IF(Girdiler!$C$8="P90",INDEX(Python_girdileri!$AF$6:$AF$35,'Zaman'!AK9),INDEX(Python_girdileri!$X$6:$X$35,'Zaman'!AK9))),IF(Girdiler!$C$8="P90",INDEX(Python_girdileri!$P$6:$P$35,'Zaman'!AK9),INDEX(Python_girdileri!$H$6:$H$35,'Zaman'!AK9))),0)</f>
        <v/>
      </c>
      <c r="AL11" s="18">
        <f>IF('Zaman'!AL13=1,IF(Girdiler!$C$91=1,IF('Zaman'!AL15=1,IF(Girdiler!$C$8="P90",INDEX(Python_girdileri!$AV$6:$AV$35,'Zaman'!AL9),INDEX(Python_girdileri!$AN$6:$AN$35,'Zaman'!AL9)),IF(Girdiler!$C$8="P90",INDEX(Python_girdileri!$AF$6:$AF$35,'Zaman'!AL9),INDEX(Python_girdileri!$X$6:$X$35,'Zaman'!AL9))),IF(Girdiler!$C$8="P90",INDEX(Python_girdileri!$P$6:$P$35,'Zaman'!AL9),INDEX(Python_girdileri!$H$6:$H$35,'Zaman'!AL9))),0)</f>
        <v/>
      </c>
      <c r="AM11" s="18">
        <f>IF('Zaman'!AM13=1,IF(Girdiler!$C$91=1,IF('Zaman'!AM15=1,IF(Girdiler!$C$8="P90",INDEX(Python_girdileri!$AV$6:$AV$35,'Zaman'!AM9),INDEX(Python_girdileri!$AN$6:$AN$35,'Zaman'!AM9)),IF(Girdiler!$C$8="P90",INDEX(Python_girdileri!$AF$6:$AF$35,'Zaman'!AM9),INDEX(Python_girdileri!$X$6:$X$35,'Zaman'!AM9))),IF(Girdiler!$C$8="P90",INDEX(Python_girdileri!$P$6:$P$35,'Zaman'!AM9),INDEX(Python_girdileri!$H$6:$H$35,'Zaman'!AM9))),0)</f>
        <v/>
      </c>
      <c r="AN11" s="18">
        <f>IF('Zaman'!AN13=1,IF(Girdiler!$C$91=1,IF('Zaman'!AN15=1,IF(Girdiler!$C$8="P90",INDEX(Python_girdileri!$AV$6:$AV$35,'Zaman'!AN9),INDEX(Python_girdileri!$AN$6:$AN$35,'Zaman'!AN9)),IF(Girdiler!$C$8="P90",INDEX(Python_girdileri!$AF$6:$AF$35,'Zaman'!AN9),INDEX(Python_girdileri!$X$6:$X$35,'Zaman'!AN9))),IF(Girdiler!$C$8="P90",INDEX(Python_girdileri!$P$6:$P$35,'Zaman'!AN9),INDEX(Python_girdileri!$H$6:$H$35,'Zaman'!AN9))),0)</f>
        <v/>
      </c>
      <c r="AO11" s="18">
        <f>IF('Zaman'!AO13=1,IF(Girdiler!$C$91=1,IF('Zaman'!AO15=1,IF(Girdiler!$C$8="P90",INDEX(Python_girdileri!$AV$6:$AV$35,'Zaman'!AO9),INDEX(Python_girdileri!$AN$6:$AN$35,'Zaman'!AO9)),IF(Girdiler!$C$8="P90",INDEX(Python_girdileri!$AF$6:$AF$35,'Zaman'!AO9),INDEX(Python_girdileri!$X$6:$X$35,'Zaman'!AO9))),IF(Girdiler!$C$8="P90",INDEX(Python_girdileri!$P$6:$P$35,'Zaman'!AO9),INDEX(Python_girdileri!$H$6:$H$35,'Zaman'!AO9))),0)</f>
        <v/>
      </c>
      <c r="AP11" s="18">
        <f>IF('Zaman'!AP13=1,IF(Girdiler!$C$91=1,IF('Zaman'!AP15=1,IF(Girdiler!$C$8="P90",INDEX(Python_girdileri!$AV$6:$AV$35,'Zaman'!AP9),INDEX(Python_girdileri!$AN$6:$AN$35,'Zaman'!AP9)),IF(Girdiler!$C$8="P90",INDEX(Python_girdileri!$AF$6:$AF$35,'Zaman'!AP9),INDEX(Python_girdileri!$X$6:$X$35,'Zaman'!AP9))),IF(Girdiler!$C$8="P90",INDEX(Python_girdileri!$P$6:$P$35,'Zaman'!AP9),INDEX(Python_girdileri!$H$6:$H$35,'Zaman'!AP9))),0)</f>
        <v/>
      </c>
      <c r="AQ11" s="18">
        <f>IF('Zaman'!AQ13=1,IF(Girdiler!$C$91=1,IF('Zaman'!AQ15=1,IF(Girdiler!$C$8="P90",INDEX(Python_girdileri!$AV$6:$AV$35,'Zaman'!AQ9),INDEX(Python_girdileri!$AN$6:$AN$35,'Zaman'!AQ9)),IF(Girdiler!$C$8="P90",INDEX(Python_girdileri!$AF$6:$AF$35,'Zaman'!AQ9),INDEX(Python_girdileri!$X$6:$X$35,'Zaman'!AQ9))),IF(Girdiler!$C$8="P90",INDEX(Python_girdileri!$P$6:$P$35,'Zaman'!AQ9),INDEX(Python_girdileri!$H$6:$H$35,'Zaman'!AQ9))),0)</f>
        <v/>
      </c>
      <c r="AR11" s="18">
        <f>IF('Zaman'!AR13=1,IF(Girdiler!$C$91=1,IF('Zaman'!AR15=1,IF(Girdiler!$C$8="P90",INDEX(Python_girdileri!$AV$6:$AV$35,'Zaman'!AR9),INDEX(Python_girdileri!$AN$6:$AN$35,'Zaman'!AR9)),IF(Girdiler!$C$8="P90",INDEX(Python_girdileri!$AF$6:$AF$35,'Zaman'!AR9),INDEX(Python_girdileri!$X$6:$X$35,'Zaman'!AR9))),IF(Girdiler!$C$8="P90",INDEX(Python_girdileri!$P$6:$P$35,'Zaman'!AR9),INDEX(Python_girdileri!$H$6:$H$35,'Zaman'!AR9))),0)</f>
        <v/>
      </c>
    </row>
    <row r="12">
      <c r="A12" t="inlineStr">
        <is>
          <t>yh_a</t>
        </is>
      </c>
      <c r="B12" t="inlineStr">
        <is>
          <t>birim</t>
        </is>
      </c>
      <c r="C12" t="inlineStr">
        <is>
          <t>Python_girdileri (rejim: katılıma göre Y1/Y0, aksi T)</t>
        </is>
      </c>
      <c r="D12" s="18">
        <f>SUM(F12:AR12)</f>
        <v/>
      </c>
      <c r="E12" s="18" t="n">
        <v>0</v>
      </c>
      <c r="F12" s="18">
        <f>IF('Zaman'!F13=1,IF(Girdiler!$C$91=1,IF('Zaman'!F15=1,IF(Girdiler!$C$8="P90",INDEX(Python_girdileri!$AW$6:$AW$35,'Zaman'!F9),INDEX(Python_girdileri!$AO$6:$AO$35,'Zaman'!F9)),IF(Girdiler!$C$8="P90",INDEX(Python_girdileri!$AG$6:$AG$35,'Zaman'!F9),INDEX(Python_girdileri!$Y$6:$Y$35,'Zaman'!F9))),IF(Girdiler!$C$8="P90",INDEX(Python_girdileri!$Q$6:$Q$35,'Zaman'!F9),INDEX(Python_girdileri!$I$6:$I$35,'Zaman'!F9))),0)</f>
        <v/>
      </c>
      <c r="G12" s="18">
        <f>IF('Zaman'!G13=1,IF(Girdiler!$C$91=1,IF('Zaman'!G15=1,IF(Girdiler!$C$8="P90",INDEX(Python_girdileri!$AW$6:$AW$35,'Zaman'!G9),INDEX(Python_girdileri!$AO$6:$AO$35,'Zaman'!G9)),IF(Girdiler!$C$8="P90",INDEX(Python_girdileri!$AG$6:$AG$35,'Zaman'!G9),INDEX(Python_girdileri!$Y$6:$Y$35,'Zaman'!G9))),IF(Girdiler!$C$8="P90",INDEX(Python_girdileri!$Q$6:$Q$35,'Zaman'!G9),INDEX(Python_girdileri!$I$6:$I$35,'Zaman'!G9))),0)</f>
        <v/>
      </c>
      <c r="H12" s="18">
        <f>IF('Zaman'!H13=1,IF(Girdiler!$C$91=1,IF('Zaman'!H15=1,IF(Girdiler!$C$8="P90",INDEX(Python_girdileri!$AW$6:$AW$35,'Zaman'!H9),INDEX(Python_girdileri!$AO$6:$AO$35,'Zaman'!H9)),IF(Girdiler!$C$8="P90",INDEX(Python_girdileri!$AG$6:$AG$35,'Zaman'!H9),INDEX(Python_girdileri!$Y$6:$Y$35,'Zaman'!H9))),IF(Girdiler!$C$8="P90",INDEX(Python_girdileri!$Q$6:$Q$35,'Zaman'!H9),INDEX(Python_girdileri!$I$6:$I$35,'Zaman'!H9))),0)</f>
        <v/>
      </c>
      <c r="I12" s="18">
        <f>IF('Zaman'!I13=1,IF(Girdiler!$C$91=1,IF('Zaman'!I15=1,IF(Girdiler!$C$8="P90",INDEX(Python_girdileri!$AW$6:$AW$35,'Zaman'!I9),INDEX(Python_girdileri!$AO$6:$AO$35,'Zaman'!I9)),IF(Girdiler!$C$8="P90",INDEX(Python_girdileri!$AG$6:$AG$35,'Zaman'!I9),INDEX(Python_girdileri!$Y$6:$Y$35,'Zaman'!I9))),IF(Girdiler!$C$8="P90",INDEX(Python_girdileri!$Q$6:$Q$35,'Zaman'!I9),INDEX(Python_girdileri!$I$6:$I$35,'Zaman'!I9))),0)</f>
        <v/>
      </c>
      <c r="J12" s="18">
        <f>IF('Zaman'!J13=1,IF(Girdiler!$C$91=1,IF('Zaman'!J15=1,IF(Girdiler!$C$8="P90",INDEX(Python_girdileri!$AW$6:$AW$35,'Zaman'!J9),INDEX(Python_girdileri!$AO$6:$AO$35,'Zaman'!J9)),IF(Girdiler!$C$8="P90",INDEX(Python_girdileri!$AG$6:$AG$35,'Zaman'!J9),INDEX(Python_girdileri!$Y$6:$Y$35,'Zaman'!J9))),IF(Girdiler!$C$8="P90",INDEX(Python_girdileri!$Q$6:$Q$35,'Zaman'!J9),INDEX(Python_girdileri!$I$6:$I$35,'Zaman'!J9))),0)</f>
        <v/>
      </c>
      <c r="K12" s="18">
        <f>IF('Zaman'!K13=1,IF(Girdiler!$C$91=1,IF('Zaman'!K15=1,IF(Girdiler!$C$8="P90",INDEX(Python_girdileri!$AW$6:$AW$35,'Zaman'!K9),INDEX(Python_girdileri!$AO$6:$AO$35,'Zaman'!K9)),IF(Girdiler!$C$8="P90",INDEX(Python_girdileri!$AG$6:$AG$35,'Zaman'!K9),INDEX(Python_girdileri!$Y$6:$Y$35,'Zaman'!K9))),IF(Girdiler!$C$8="P90",INDEX(Python_girdileri!$Q$6:$Q$35,'Zaman'!K9),INDEX(Python_girdileri!$I$6:$I$35,'Zaman'!K9))),0)</f>
        <v/>
      </c>
      <c r="L12" s="18">
        <f>IF('Zaman'!L13=1,IF(Girdiler!$C$91=1,IF('Zaman'!L15=1,IF(Girdiler!$C$8="P90",INDEX(Python_girdileri!$AW$6:$AW$35,'Zaman'!L9),INDEX(Python_girdileri!$AO$6:$AO$35,'Zaman'!L9)),IF(Girdiler!$C$8="P90",INDEX(Python_girdileri!$AG$6:$AG$35,'Zaman'!L9),INDEX(Python_girdileri!$Y$6:$Y$35,'Zaman'!L9))),IF(Girdiler!$C$8="P90",INDEX(Python_girdileri!$Q$6:$Q$35,'Zaman'!L9),INDEX(Python_girdileri!$I$6:$I$35,'Zaman'!L9))),0)</f>
        <v/>
      </c>
      <c r="M12" s="18">
        <f>IF('Zaman'!M13=1,IF(Girdiler!$C$91=1,IF('Zaman'!M15=1,IF(Girdiler!$C$8="P90",INDEX(Python_girdileri!$AW$6:$AW$35,'Zaman'!M9),INDEX(Python_girdileri!$AO$6:$AO$35,'Zaman'!M9)),IF(Girdiler!$C$8="P90",INDEX(Python_girdileri!$AG$6:$AG$35,'Zaman'!M9),INDEX(Python_girdileri!$Y$6:$Y$35,'Zaman'!M9))),IF(Girdiler!$C$8="P90",INDEX(Python_girdileri!$Q$6:$Q$35,'Zaman'!M9),INDEX(Python_girdileri!$I$6:$I$35,'Zaman'!M9))),0)</f>
        <v/>
      </c>
      <c r="N12" s="18">
        <f>IF('Zaman'!N13=1,IF(Girdiler!$C$91=1,IF('Zaman'!N15=1,IF(Girdiler!$C$8="P90",INDEX(Python_girdileri!$AW$6:$AW$35,'Zaman'!N9),INDEX(Python_girdileri!$AO$6:$AO$35,'Zaman'!N9)),IF(Girdiler!$C$8="P90",INDEX(Python_girdileri!$AG$6:$AG$35,'Zaman'!N9),INDEX(Python_girdileri!$Y$6:$Y$35,'Zaman'!N9))),IF(Girdiler!$C$8="P90",INDEX(Python_girdileri!$Q$6:$Q$35,'Zaman'!N9),INDEX(Python_girdileri!$I$6:$I$35,'Zaman'!N9))),0)</f>
        <v/>
      </c>
      <c r="O12" s="18">
        <f>IF('Zaman'!O13=1,IF(Girdiler!$C$91=1,IF('Zaman'!O15=1,IF(Girdiler!$C$8="P90",INDEX(Python_girdileri!$AW$6:$AW$35,'Zaman'!O9),INDEX(Python_girdileri!$AO$6:$AO$35,'Zaman'!O9)),IF(Girdiler!$C$8="P90",INDEX(Python_girdileri!$AG$6:$AG$35,'Zaman'!O9),INDEX(Python_girdileri!$Y$6:$Y$35,'Zaman'!O9))),IF(Girdiler!$C$8="P90",INDEX(Python_girdileri!$Q$6:$Q$35,'Zaman'!O9),INDEX(Python_girdileri!$I$6:$I$35,'Zaman'!O9))),0)</f>
        <v/>
      </c>
      <c r="P12" s="18">
        <f>IF('Zaman'!P13=1,IF(Girdiler!$C$91=1,IF('Zaman'!P15=1,IF(Girdiler!$C$8="P90",INDEX(Python_girdileri!$AW$6:$AW$35,'Zaman'!P9),INDEX(Python_girdileri!$AO$6:$AO$35,'Zaman'!P9)),IF(Girdiler!$C$8="P90",INDEX(Python_girdileri!$AG$6:$AG$35,'Zaman'!P9),INDEX(Python_girdileri!$Y$6:$Y$35,'Zaman'!P9))),IF(Girdiler!$C$8="P90",INDEX(Python_girdileri!$Q$6:$Q$35,'Zaman'!P9),INDEX(Python_girdileri!$I$6:$I$35,'Zaman'!P9))),0)</f>
        <v/>
      </c>
      <c r="Q12" s="18">
        <f>IF('Zaman'!Q13=1,IF(Girdiler!$C$91=1,IF('Zaman'!Q15=1,IF(Girdiler!$C$8="P90",INDEX(Python_girdileri!$AW$6:$AW$35,'Zaman'!Q9),INDEX(Python_girdileri!$AO$6:$AO$35,'Zaman'!Q9)),IF(Girdiler!$C$8="P90",INDEX(Python_girdileri!$AG$6:$AG$35,'Zaman'!Q9),INDEX(Python_girdileri!$Y$6:$Y$35,'Zaman'!Q9))),IF(Girdiler!$C$8="P90",INDEX(Python_girdileri!$Q$6:$Q$35,'Zaman'!Q9),INDEX(Python_girdileri!$I$6:$I$35,'Zaman'!Q9))),0)</f>
        <v/>
      </c>
      <c r="R12" s="18">
        <f>IF('Zaman'!R13=1,IF(Girdiler!$C$91=1,IF('Zaman'!R15=1,IF(Girdiler!$C$8="P90",INDEX(Python_girdileri!$AW$6:$AW$35,'Zaman'!R9),INDEX(Python_girdileri!$AO$6:$AO$35,'Zaman'!R9)),IF(Girdiler!$C$8="P90",INDEX(Python_girdileri!$AG$6:$AG$35,'Zaman'!R9),INDEX(Python_girdileri!$Y$6:$Y$35,'Zaman'!R9))),IF(Girdiler!$C$8="P90",INDEX(Python_girdileri!$Q$6:$Q$35,'Zaman'!R9),INDEX(Python_girdileri!$I$6:$I$35,'Zaman'!R9))),0)</f>
        <v/>
      </c>
      <c r="S12" s="18">
        <f>IF('Zaman'!S13=1,IF(Girdiler!$C$91=1,IF('Zaman'!S15=1,IF(Girdiler!$C$8="P90",INDEX(Python_girdileri!$AW$6:$AW$35,'Zaman'!S9),INDEX(Python_girdileri!$AO$6:$AO$35,'Zaman'!S9)),IF(Girdiler!$C$8="P90",INDEX(Python_girdileri!$AG$6:$AG$35,'Zaman'!S9),INDEX(Python_girdileri!$Y$6:$Y$35,'Zaman'!S9))),IF(Girdiler!$C$8="P90",INDEX(Python_girdileri!$Q$6:$Q$35,'Zaman'!S9),INDEX(Python_girdileri!$I$6:$I$35,'Zaman'!S9))),0)</f>
        <v/>
      </c>
      <c r="T12" s="18">
        <f>IF('Zaman'!T13=1,IF(Girdiler!$C$91=1,IF('Zaman'!T15=1,IF(Girdiler!$C$8="P90",INDEX(Python_girdileri!$AW$6:$AW$35,'Zaman'!T9),INDEX(Python_girdileri!$AO$6:$AO$35,'Zaman'!T9)),IF(Girdiler!$C$8="P90",INDEX(Python_girdileri!$AG$6:$AG$35,'Zaman'!T9),INDEX(Python_girdileri!$Y$6:$Y$35,'Zaman'!T9))),IF(Girdiler!$C$8="P90",INDEX(Python_girdileri!$Q$6:$Q$35,'Zaman'!T9),INDEX(Python_girdileri!$I$6:$I$35,'Zaman'!T9))),0)</f>
        <v/>
      </c>
      <c r="U12" s="18">
        <f>IF('Zaman'!U13=1,IF(Girdiler!$C$91=1,IF('Zaman'!U15=1,IF(Girdiler!$C$8="P90",INDEX(Python_girdileri!$AW$6:$AW$35,'Zaman'!U9),INDEX(Python_girdileri!$AO$6:$AO$35,'Zaman'!U9)),IF(Girdiler!$C$8="P90",INDEX(Python_girdileri!$AG$6:$AG$35,'Zaman'!U9),INDEX(Python_girdileri!$Y$6:$Y$35,'Zaman'!U9))),IF(Girdiler!$C$8="P90",INDEX(Python_girdileri!$Q$6:$Q$35,'Zaman'!U9),INDEX(Python_girdileri!$I$6:$I$35,'Zaman'!U9))),0)</f>
        <v/>
      </c>
      <c r="V12" s="18">
        <f>IF('Zaman'!V13=1,IF(Girdiler!$C$91=1,IF('Zaman'!V15=1,IF(Girdiler!$C$8="P90",INDEX(Python_girdileri!$AW$6:$AW$35,'Zaman'!V9),INDEX(Python_girdileri!$AO$6:$AO$35,'Zaman'!V9)),IF(Girdiler!$C$8="P90",INDEX(Python_girdileri!$AG$6:$AG$35,'Zaman'!V9),INDEX(Python_girdileri!$Y$6:$Y$35,'Zaman'!V9))),IF(Girdiler!$C$8="P90",INDEX(Python_girdileri!$Q$6:$Q$35,'Zaman'!V9),INDEX(Python_girdileri!$I$6:$I$35,'Zaman'!V9))),0)</f>
        <v/>
      </c>
      <c r="W12" s="18">
        <f>IF('Zaman'!W13=1,IF(Girdiler!$C$91=1,IF('Zaman'!W15=1,IF(Girdiler!$C$8="P90",INDEX(Python_girdileri!$AW$6:$AW$35,'Zaman'!W9),INDEX(Python_girdileri!$AO$6:$AO$35,'Zaman'!W9)),IF(Girdiler!$C$8="P90",INDEX(Python_girdileri!$AG$6:$AG$35,'Zaman'!W9),INDEX(Python_girdileri!$Y$6:$Y$35,'Zaman'!W9))),IF(Girdiler!$C$8="P90",INDEX(Python_girdileri!$Q$6:$Q$35,'Zaman'!W9),INDEX(Python_girdileri!$I$6:$I$35,'Zaman'!W9))),0)</f>
        <v/>
      </c>
      <c r="X12" s="18">
        <f>IF('Zaman'!X13=1,IF(Girdiler!$C$91=1,IF('Zaman'!X15=1,IF(Girdiler!$C$8="P90",INDEX(Python_girdileri!$AW$6:$AW$35,'Zaman'!X9),INDEX(Python_girdileri!$AO$6:$AO$35,'Zaman'!X9)),IF(Girdiler!$C$8="P90",INDEX(Python_girdileri!$AG$6:$AG$35,'Zaman'!X9),INDEX(Python_girdileri!$Y$6:$Y$35,'Zaman'!X9))),IF(Girdiler!$C$8="P90",INDEX(Python_girdileri!$Q$6:$Q$35,'Zaman'!X9),INDEX(Python_girdileri!$I$6:$I$35,'Zaman'!X9))),0)</f>
        <v/>
      </c>
      <c r="Y12" s="18">
        <f>IF('Zaman'!Y13=1,IF(Girdiler!$C$91=1,IF('Zaman'!Y15=1,IF(Girdiler!$C$8="P90",INDEX(Python_girdileri!$AW$6:$AW$35,'Zaman'!Y9),INDEX(Python_girdileri!$AO$6:$AO$35,'Zaman'!Y9)),IF(Girdiler!$C$8="P90",INDEX(Python_girdileri!$AG$6:$AG$35,'Zaman'!Y9),INDEX(Python_girdileri!$Y$6:$Y$35,'Zaman'!Y9))),IF(Girdiler!$C$8="P90",INDEX(Python_girdileri!$Q$6:$Q$35,'Zaman'!Y9),INDEX(Python_girdileri!$I$6:$I$35,'Zaman'!Y9))),0)</f>
        <v/>
      </c>
      <c r="Z12" s="18">
        <f>IF('Zaman'!Z13=1,IF(Girdiler!$C$91=1,IF('Zaman'!Z15=1,IF(Girdiler!$C$8="P90",INDEX(Python_girdileri!$AW$6:$AW$35,'Zaman'!Z9),INDEX(Python_girdileri!$AO$6:$AO$35,'Zaman'!Z9)),IF(Girdiler!$C$8="P90",INDEX(Python_girdileri!$AG$6:$AG$35,'Zaman'!Z9),INDEX(Python_girdileri!$Y$6:$Y$35,'Zaman'!Z9))),IF(Girdiler!$C$8="P90",INDEX(Python_girdileri!$Q$6:$Q$35,'Zaman'!Z9),INDEX(Python_girdileri!$I$6:$I$35,'Zaman'!Z9))),0)</f>
        <v/>
      </c>
      <c r="AA12" s="18">
        <f>IF('Zaman'!AA13=1,IF(Girdiler!$C$91=1,IF('Zaman'!AA15=1,IF(Girdiler!$C$8="P90",INDEX(Python_girdileri!$AW$6:$AW$35,'Zaman'!AA9),INDEX(Python_girdileri!$AO$6:$AO$35,'Zaman'!AA9)),IF(Girdiler!$C$8="P90",INDEX(Python_girdileri!$AG$6:$AG$35,'Zaman'!AA9),INDEX(Python_girdileri!$Y$6:$Y$35,'Zaman'!AA9))),IF(Girdiler!$C$8="P90",INDEX(Python_girdileri!$Q$6:$Q$35,'Zaman'!AA9),INDEX(Python_girdileri!$I$6:$I$35,'Zaman'!AA9))),0)</f>
        <v/>
      </c>
      <c r="AB12" s="18">
        <f>IF('Zaman'!AB13=1,IF(Girdiler!$C$91=1,IF('Zaman'!AB15=1,IF(Girdiler!$C$8="P90",INDEX(Python_girdileri!$AW$6:$AW$35,'Zaman'!AB9),INDEX(Python_girdileri!$AO$6:$AO$35,'Zaman'!AB9)),IF(Girdiler!$C$8="P90",INDEX(Python_girdileri!$AG$6:$AG$35,'Zaman'!AB9),INDEX(Python_girdileri!$Y$6:$Y$35,'Zaman'!AB9))),IF(Girdiler!$C$8="P90",INDEX(Python_girdileri!$Q$6:$Q$35,'Zaman'!AB9),INDEX(Python_girdileri!$I$6:$I$35,'Zaman'!AB9))),0)</f>
        <v/>
      </c>
      <c r="AC12" s="18">
        <f>IF('Zaman'!AC13=1,IF(Girdiler!$C$91=1,IF('Zaman'!AC15=1,IF(Girdiler!$C$8="P90",INDEX(Python_girdileri!$AW$6:$AW$35,'Zaman'!AC9),INDEX(Python_girdileri!$AO$6:$AO$35,'Zaman'!AC9)),IF(Girdiler!$C$8="P90",INDEX(Python_girdileri!$AG$6:$AG$35,'Zaman'!AC9),INDEX(Python_girdileri!$Y$6:$Y$35,'Zaman'!AC9))),IF(Girdiler!$C$8="P90",INDEX(Python_girdileri!$Q$6:$Q$35,'Zaman'!AC9),INDEX(Python_girdileri!$I$6:$I$35,'Zaman'!AC9))),0)</f>
        <v/>
      </c>
      <c r="AD12" s="18">
        <f>IF('Zaman'!AD13=1,IF(Girdiler!$C$91=1,IF('Zaman'!AD15=1,IF(Girdiler!$C$8="P90",INDEX(Python_girdileri!$AW$6:$AW$35,'Zaman'!AD9),INDEX(Python_girdileri!$AO$6:$AO$35,'Zaman'!AD9)),IF(Girdiler!$C$8="P90",INDEX(Python_girdileri!$AG$6:$AG$35,'Zaman'!AD9),INDEX(Python_girdileri!$Y$6:$Y$35,'Zaman'!AD9))),IF(Girdiler!$C$8="P90",INDEX(Python_girdileri!$Q$6:$Q$35,'Zaman'!AD9),INDEX(Python_girdileri!$I$6:$I$35,'Zaman'!AD9))),0)</f>
        <v/>
      </c>
      <c r="AE12" s="18">
        <f>IF('Zaman'!AE13=1,IF(Girdiler!$C$91=1,IF('Zaman'!AE15=1,IF(Girdiler!$C$8="P90",INDEX(Python_girdileri!$AW$6:$AW$35,'Zaman'!AE9),INDEX(Python_girdileri!$AO$6:$AO$35,'Zaman'!AE9)),IF(Girdiler!$C$8="P90",INDEX(Python_girdileri!$AG$6:$AG$35,'Zaman'!AE9),INDEX(Python_girdileri!$Y$6:$Y$35,'Zaman'!AE9))),IF(Girdiler!$C$8="P90",INDEX(Python_girdileri!$Q$6:$Q$35,'Zaman'!AE9),INDEX(Python_girdileri!$I$6:$I$35,'Zaman'!AE9))),0)</f>
        <v/>
      </c>
      <c r="AF12" s="18">
        <f>IF('Zaman'!AF13=1,IF(Girdiler!$C$91=1,IF('Zaman'!AF15=1,IF(Girdiler!$C$8="P90",INDEX(Python_girdileri!$AW$6:$AW$35,'Zaman'!AF9),INDEX(Python_girdileri!$AO$6:$AO$35,'Zaman'!AF9)),IF(Girdiler!$C$8="P90",INDEX(Python_girdileri!$AG$6:$AG$35,'Zaman'!AF9),INDEX(Python_girdileri!$Y$6:$Y$35,'Zaman'!AF9))),IF(Girdiler!$C$8="P90",INDEX(Python_girdileri!$Q$6:$Q$35,'Zaman'!AF9),INDEX(Python_girdileri!$I$6:$I$35,'Zaman'!AF9))),0)</f>
        <v/>
      </c>
      <c r="AG12" s="18">
        <f>IF('Zaman'!AG13=1,IF(Girdiler!$C$91=1,IF('Zaman'!AG15=1,IF(Girdiler!$C$8="P90",INDEX(Python_girdileri!$AW$6:$AW$35,'Zaman'!AG9),INDEX(Python_girdileri!$AO$6:$AO$35,'Zaman'!AG9)),IF(Girdiler!$C$8="P90",INDEX(Python_girdileri!$AG$6:$AG$35,'Zaman'!AG9),INDEX(Python_girdileri!$Y$6:$Y$35,'Zaman'!AG9))),IF(Girdiler!$C$8="P90",INDEX(Python_girdileri!$Q$6:$Q$35,'Zaman'!AG9),INDEX(Python_girdileri!$I$6:$I$35,'Zaman'!AG9))),0)</f>
        <v/>
      </c>
      <c r="AH12" s="18">
        <f>IF('Zaman'!AH13=1,IF(Girdiler!$C$91=1,IF('Zaman'!AH15=1,IF(Girdiler!$C$8="P90",INDEX(Python_girdileri!$AW$6:$AW$35,'Zaman'!AH9),INDEX(Python_girdileri!$AO$6:$AO$35,'Zaman'!AH9)),IF(Girdiler!$C$8="P90",INDEX(Python_girdileri!$AG$6:$AG$35,'Zaman'!AH9),INDEX(Python_girdileri!$Y$6:$Y$35,'Zaman'!AH9))),IF(Girdiler!$C$8="P90",INDEX(Python_girdileri!$Q$6:$Q$35,'Zaman'!AH9),INDEX(Python_girdileri!$I$6:$I$35,'Zaman'!AH9))),0)</f>
        <v/>
      </c>
      <c r="AI12" s="18">
        <f>IF('Zaman'!AI13=1,IF(Girdiler!$C$91=1,IF('Zaman'!AI15=1,IF(Girdiler!$C$8="P90",INDEX(Python_girdileri!$AW$6:$AW$35,'Zaman'!AI9),INDEX(Python_girdileri!$AO$6:$AO$35,'Zaman'!AI9)),IF(Girdiler!$C$8="P90",INDEX(Python_girdileri!$AG$6:$AG$35,'Zaman'!AI9),INDEX(Python_girdileri!$Y$6:$Y$35,'Zaman'!AI9))),IF(Girdiler!$C$8="P90",INDEX(Python_girdileri!$Q$6:$Q$35,'Zaman'!AI9),INDEX(Python_girdileri!$I$6:$I$35,'Zaman'!AI9))),0)</f>
        <v/>
      </c>
      <c r="AJ12" s="18">
        <f>IF('Zaman'!AJ13=1,IF(Girdiler!$C$91=1,IF('Zaman'!AJ15=1,IF(Girdiler!$C$8="P90",INDEX(Python_girdileri!$AW$6:$AW$35,'Zaman'!AJ9),INDEX(Python_girdileri!$AO$6:$AO$35,'Zaman'!AJ9)),IF(Girdiler!$C$8="P90",INDEX(Python_girdileri!$AG$6:$AG$35,'Zaman'!AJ9),INDEX(Python_girdileri!$Y$6:$Y$35,'Zaman'!AJ9))),IF(Girdiler!$C$8="P90",INDEX(Python_girdileri!$Q$6:$Q$35,'Zaman'!AJ9),INDEX(Python_girdileri!$I$6:$I$35,'Zaman'!AJ9))),0)</f>
        <v/>
      </c>
      <c r="AK12" s="18">
        <f>IF('Zaman'!AK13=1,IF(Girdiler!$C$91=1,IF('Zaman'!AK15=1,IF(Girdiler!$C$8="P90",INDEX(Python_girdileri!$AW$6:$AW$35,'Zaman'!AK9),INDEX(Python_girdileri!$AO$6:$AO$35,'Zaman'!AK9)),IF(Girdiler!$C$8="P90",INDEX(Python_girdileri!$AG$6:$AG$35,'Zaman'!AK9),INDEX(Python_girdileri!$Y$6:$Y$35,'Zaman'!AK9))),IF(Girdiler!$C$8="P90",INDEX(Python_girdileri!$Q$6:$Q$35,'Zaman'!AK9),INDEX(Python_girdileri!$I$6:$I$35,'Zaman'!AK9))),0)</f>
        <v/>
      </c>
      <c r="AL12" s="18">
        <f>IF('Zaman'!AL13=1,IF(Girdiler!$C$91=1,IF('Zaman'!AL15=1,IF(Girdiler!$C$8="P90",INDEX(Python_girdileri!$AW$6:$AW$35,'Zaman'!AL9),INDEX(Python_girdileri!$AO$6:$AO$35,'Zaman'!AL9)),IF(Girdiler!$C$8="P90",INDEX(Python_girdileri!$AG$6:$AG$35,'Zaman'!AL9),INDEX(Python_girdileri!$Y$6:$Y$35,'Zaman'!AL9))),IF(Girdiler!$C$8="P90",INDEX(Python_girdileri!$Q$6:$Q$35,'Zaman'!AL9),INDEX(Python_girdileri!$I$6:$I$35,'Zaman'!AL9))),0)</f>
        <v/>
      </c>
      <c r="AM12" s="18">
        <f>IF('Zaman'!AM13=1,IF(Girdiler!$C$91=1,IF('Zaman'!AM15=1,IF(Girdiler!$C$8="P90",INDEX(Python_girdileri!$AW$6:$AW$35,'Zaman'!AM9),INDEX(Python_girdileri!$AO$6:$AO$35,'Zaman'!AM9)),IF(Girdiler!$C$8="P90",INDEX(Python_girdileri!$AG$6:$AG$35,'Zaman'!AM9),INDEX(Python_girdileri!$Y$6:$Y$35,'Zaman'!AM9))),IF(Girdiler!$C$8="P90",INDEX(Python_girdileri!$Q$6:$Q$35,'Zaman'!AM9),INDEX(Python_girdileri!$I$6:$I$35,'Zaman'!AM9))),0)</f>
        <v/>
      </c>
      <c r="AN12" s="18">
        <f>IF('Zaman'!AN13=1,IF(Girdiler!$C$91=1,IF('Zaman'!AN15=1,IF(Girdiler!$C$8="P90",INDEX(Python_girdileri!$AW$6:$AW$35,'Zaman'!AN9),INDEX(Python_girdileri!$AO$6:$AO$35,'Zaman'!AN9)),IF(Girdiler!$C$8="P90",INDEX(Python_girdileri!$AG$6:$AG$35,'Zaman'!AN9),INDEX(Python_girdileri!$Y$6:$Y$35,'Zaman'!AN9))),IF(Girdiler!$C$8="P90",INDEX(Python_girdileri!$Q$6:$Q$35,'Zaman'!AN9),INDEX(Python_girdileri!$I$6:$I$35,'Zaman'!AN9))),0)</f>
        <v/>
      </c>
      <c r="AO12" s="18">
        <f>IF('Zaman'!AO13=1,IF(Girdiler!$C$91=1,IF('Zaman'!AO15=1,IF(Girdiler!$C$8="P90",INDEX(Python_girdileri!$AW$6:$AW$35,'Zaman'!AO9),INDEX(Python_girdileri!$AO$6:$AO$35,'Zaman'!AO9)),IF(Girdiler!$C$8="P90",INDEX(Python_girdileri!$AG$6:$AG$35,'Zaman'!AO9),INDEX(Python_girdileri!$Y$6:$Y$35,'Zaman'!AO9))),IF(Girdiler!$C$8="P90",INDEX(Python_girdileri!$Q$6:$Q$35,'Zaman'!AO9),INDEX(Python_girdileri!$I$6:$I$35,'Zaman'!AO9))),0)</f>
        <v/>
      </c>
      <c r="AP12" s="18">
        <f>IF('Zaman'!AP13=1,IF(Girdiler!$C$91=1,IF('Zaman'!AP15=1,IF(Girdiler!$C$8="P90",INDEX(Python_girdileri!$AW$6:$AW$35,'Zaman'!AP9),INDEX(Python_girdileri!$AO$6:$AO$35,'Zaman'!AP9)),IF(Girdiler!$C$8="P90",INDEX(Python_girdileri!$AG$6:$AG$35,'Zaman'!AP9),INDEX(Python_girdileri!$Y$6:$Y$35,'Zaman'!AP9))),IF(Girdiler!$C$8="P90",INDEX(Python_girdileri!$Q$6:$Q$35,'Zaman'!AP9),INDEX(Python_girdileri!$I$6:$I$35,'Zaman'!AP9))),0)</f>
        <v/>
      </c>
      <c r="AQ12" s="18">
        <f>IF('Zaman'!AQ13=1,IF(Girdiler!$C$91=1,IF('Zaman'!AQ15=1,IF(Girdiler!$C$8="P90",INDEX(Python_girdileri!$AW$6:$AW$35,'Zaman'!AQ9),INDEX(Python_girdileri!$AO$6:$AO$35,'Zaman'!AQ9)),IF(Girdiler!$C$8="P90",INDEX(Python_girdileri!$AG$6:$AG$35,'Zaman'!AQ9),INDEX(Python_girdileri!$Y$6:$Y$35,'Zaman'!AQ9))),IF(Girdiler!$C$8="P90",INDEX(Python_girdileri!$Q$6:$Q$35,'Zaman'!AQ9),INDEX(Python_girdileri!$I$6:$I$35,'Zaman'!AQ9))),0)</f>
        <v/>
      </c>
      <c r="AR12" s="18">
        <f>IF('Zaman'!AR13=1,IF(Girdiler!$C$91=1,IF('Zaman'!AR15=1,IF(Girdiler!$C$8="P90",INDEX(Python_girdileri!$AW$6:$AW$35,'Zaman'!AR9),INDEX(Python_girdileri!$AO$6:$AO$35,'Zaman'!AR9)),IF(Girdiler!$C$8="P90",INDEX(Python_girdileri!$AG$6:$AG$35,'Zaman'!AR9),INDEX(Python_girdileri!$Y$6:$Y$35,'Zaman'!AR9))),IF(Girdiler!$C$8="P90",INDEX(Python_girdileri!$Q$6:$Q$35,'Zaman'!AR9),INDEX(Python_girdileri!$I$6:$I$35,'Zaman'!AR9))),0)</f>
        <v/>
      </c>
    </row>
    <row r="13">
      <c r="A13" t="inlineStr">
        <is>
          <t>rezerv</t>
        </is>
      </c>
      <c r="B13" t="inlineStr">
        <is>
          <t>MWh</t>
        </is>
      </c>
      <c r="C13" t="inlineStr">
        <is>
          <t>Python_girdileri (rejim: katılıma göre Y1/Y0, aksi T)</t>
        </is>
      </c>
      <c r="D13" s="18">
        <f>SUM(F13:AR13)</f>
        <v/>
      </c>
      <c r="E13" s="18" t="n">
        <v>0</v>
      </c>
      <c r="F13" s="18">
        <f>IF('Zaman'!F13=1,IF(Girdiler!$C$91=1,IF('Zaman'!F15=1,IF(Girdiler!$C$8="P90",INDEX(Python_girdileri!$AX$6:$AX$35,'Zaman'!F9),INDEX(Python_girdileri!$AP$6:$AP$35,'Zaman'!F9)),IF(Girdiler!$C$8="P90",INDEX(Python_girdileri!$AH$6:$AH$35,'Zaman'!F9),INDEX(Python_girdileri!$Z$6:$Z$35,'Zaman'!F9))),IF(Girdiler!$C$8="P90",INDEX(Python_girdileri!$R$6:$R$35,'Zaman'!F9),INDEX(Python_girdileri!$J$6:$J$35,'Zaman'!F9))),0)</f>
        <v/>
      </c>
      <c r="G13" s="18">
        <f>IF('Zaman'!G13=1,IF(Girdiler!$C$91=1,IF('Zaman'!G15=1,IF(Girdiler!$C$8="P90",INDEX(Python_girdileri!$AX$6:$AX$35,'Zaman'!G9),INDEX(Python_girdileri!$AP$6:$AP$35,'Zaman'!G9)),IF(Girdiler!$C$8="P90",INDEX(Python_girdileri!$AH$6:$AH$35,'Zaman'!G9),INDEX(Python_girdileri!$Z$6:$Z$35,'Zaman'!G9))),IF(Girdiler!$C$8="P90",INDEX(Python_girdileri!$R$6:$R$35,'Zaman'!G9),INDEX(Python_girdileri!$J$6:$J$35,'Zaman'!G9))),0)</f>
        <v/>
      </c>
      <c r="H13" s="18">
        <f>IF('Zaman'!H13=1,IF(Girdiler!$C$91=1,IF('Zaman'!H15=1,IF(Girdiler!$C$8="P90",INDEX(Python_girdileri!$AX$6:$AX$35,'Zaman'!H9),INDEX(Python_girdileri!$AP$6:$AP$35,'Zaman'!H9)),IF(Girdiler!$C$8="P90",INDEX(Python_girdileri!$AH$6:$AH$35,'Zaman'!H9),INDEX(Python_girdileri!$Z$6:$Z$35,'Zaman'!H9))),IF(Girdiler!$C$8="P90",INDEX(Python_girdileri!$R$6:$R$35,'Zaman'!H9),INDEX(Python_girdileri!$J$6:$J$35,'Zaman'!H9))),0)</f>
        <v/>
      </c>
      <c r="I13" s="18">
        <f>IF('Zaman'!I13=1,IF(Girdiler!$C$91=1,IF('Zaman'!I15=1,IF(Girdiler!$C$8="P90",INDEX(Python_girdileri!$AX$6:$AX$35,'Zaman'!I9),INDEX(Python_girdileri!$AP$6:$AP$35,'Zaman'!I9)),IF(Girdiler!$C$8="P90",INDEX(Python_girdileri!$AH$6:$AH$35,'Zaman'!I9),INDEX(Python_girdileri!$Z$6:$Z$35,'Zaman'!I9))),IF(Girdiler!$C$8="P90",INDEX(Python_girdileri!$R$6:$R$35,'Zaman'!I9),INDEX(Python_girdileri!$J$6:$J$35,'Zaman'!I9))),0)</f>
        <v/>
      </c>
      <c r="J13" s="18">
        <f>IF('Zaman'!J13=1,IF(Girdiler!$C$91=1,IF('Zaman'!J15=1,IF(Girdiler!$C$8="P90",INDEX(Python_girdileri!$AX$6:$AX$35,'Zaman'!J9),INDEX(Python_girdileri!$AP$6:$AP$35,'Zaman'!J9)),IF(Girdiler!$C$8="P90",INDEX(Python_girdileri!$AH$6:$AH$35,'Zaman'!J9),INDEX(Python_girdileri!$Z$6:$Z$35,'Zaman'!J9))),IF(Girdiler!$C$8="P90",INDEX(Python_girdileri!$R$6:$R$35,'Zaman'!J9),INDEX(Python_girdileri!$J$6:$J$35,'Zaman'!J9))),0)</f>
        <v/>
      </c>
      <c r="K13" s="18">
        <f>IF('Zaman'!K13=1,IF(Girdiler!$C$91=1,IF('Zaman'!K15=1,IF(Girdiler!$C$8="P90",INDEX(Python_girdileri!$AX$6:$AX$35,'Zaman'!K9),INDEX(Python_girdileri!$AP$6:$AP$35,'Zaman'!K9)),IF(Girdiler!$C$8="P90",INDEX(Python_girdileri!$AH$6:$AH$35,'Zaman'!K9),INDEX(Python_girdileri!$Z$6:$Z$35,'Zaman'!K9))),IF(Girdiler!$C$8="P90",INDEX(Python_girdileri!$R$6:$R$35,'Zaman'!K9),INDEX(Python_girdileri!$J$6:$J$35,'Zaman'!K9))),0)</f>
        <v/>
      </c>
      <c r="L13" s="18">
        <f>IF('Zaman'!L13=1,IF(Girdiler!$C$91=1,IF('Zaman'!L15=1,IF(Girdiler!$C$8="P90",INDEX(Python_girdileri!$AX$6:$AX$35,'Zaman'!L9),INDEX(Python_girdileri!$AP$6:$AP$35,'Zaman'!L9)),IF(Girdiler!$C$8="P90",INDEX(Python_girdileri!$AH$6:$AH$35,'Zaman'!L9),INDEX(Python_girdileri!$Z$6:$Z$35,'Zaman'!L9))),IF(Girdiler!$C$8="P90",INDEX(Python_girdileri!$R$6:$R$35,'Zaman'!L9),INDEX(Python_girdileri!$J$6:$J$35,'Zaman'!L9))),0)</f>
        <v/>
      </c>
      <c r="M13" s="18">
        <f>IF('Zaman'!M13=1,IF(Girdiler!$C$91=1,IF('Zaman'!M15=1,IF(Girdiler!$C$8="P90",INDEX(Python_girdileri!$AX$6:$AX$35,'Zaman'!M9),INDEX(Python_girdileri!$AP$6:$AP$35,'Zaman'!M9)),IF(Girdiler!$C$8="P90",INDEX(Python_girdileri!$AH$6:$AH$35,'Zaman'!M9),INDEX(Python_girdileri!$Z$6:$Z$35,'Zaman'!M9))),IF(Girdiler!$C$8="P90",INDEX(Python_girdileri!$R$6:$R$35,'Zaman'!M9),INDEX(Python_girdileri!$J$6:$J$35,'Zaman'!M9))),0)</f>
        <v/>
      </c>
      <c r="N13" s="18">
        <f>IF('Zaman'!N13=1,IF(Girdiler!$C$91=1,IF('Zaman'!N15=1,IF(Girdiler!$C$8="P90",INDEX(Python_girdileri!$AX$6:$AX$35,'Zaman'!N9),INDEX(Python_girdileri!$AP$6:$AP$35,'Zaman'!N9)),IF(Girdiler!$C$8="P90",INDEX(Python_girdileri!$AH$6:$AH$35,'Zaman'!N9),INDEX(Python_girdileri!$Z$6:$Z$35,'Zaman'!N9))),IF(Girdiler!$C$8="P90",INDEX(Python_girdileri!$R$6:$R$35,'Zaman'!N9),INDEX(Python_girdileri!$J$6:$J$35,'Zaman'!N9))),0)</f>
        <v/>
      </c>
      <c r="O13" s="18">
        <f>IF('Zaman'!O13=1,IF(Girdiler!$C$91=1,IF('Zaman'!O15=1,IF(Girdiler!$C$8="P90",INDEX(Python_girdileri!$AX$6:$AX$35,'Zaman'!O9),INDEX(Python_girdileri!$AP$6:$AP$35,'Zaman'!O9)),IF(Girdiler!$C$8="P90",INDEX(Python_girdileri!$AH$6:$AH$35,'Zaman'!O9),INDEX(Python_girdileri!$Z$6:$Z$35,'Zaman'!O9))),IF(Girdiler!$C$8="P90",INDEX(Python_girdileri!$R$6:$R$35,'Zaman'!O9),INDEX(Python_girdileri!$J$6:$J$35,'Zaman'!O9))),0)</f>
        <v/>
      </c>
      <c r="P13" s="18">
        <f>IF('Zaman'!P13=1,IF(Girdiler!$C$91=1,IF('Zaman'!P15=1,IF(Girdiler!$C$8="P90",INDEX(Python_girdileri!$AX$6:$AX$35,'Zaman'!P9),INDEX(Python_girdileri!$AP$6:$AP$35,'Zaman'!P9)),IF(Girdiler!$C$8="P90",INDEX(Python_girdileri!$AH$6:$AH$35,'Zaman'!P9),INDEX(Python_girdileri!$Z$6:$Z$35,'Zaman'!P9))),IF(Girdiler!$C$8="P90",INDEX(Python_girdileri!$R$6:$R$35,'Zaman'!P9),INDEX(Python_girdileri!$J$6:$J$35,'Zaman'!P9))),0)</f>
        <v/>
      </c>
      <c r="Q13" s="18">
        <f>IF('Zaman'!Q13=1,IF(Girdiler!$C$91=1,IF('Zaman'!Q15=1,IF(Girdiler!$C$8="P90",INDEX(Python_girdileri!$AX$6:$AX$35,'Zaman'!Q9),INDEX(Python_girdileri!$AP$6:$AP$35,'Zaman'!Q9)),IF(Girdiler!$C$8="P90",INDEX(Python_girdileri!$AH$6:$AH$35,'Zaman'!Q9),INDEX(Python_girdileri!$Z$6:$Z$35,'Zaman'!Q9))),IF(Girdiler!$C$8="P90",INDEX(Python_girdileri!$R$6:$R$35,'Zaman'!Q9),INDEX(Python_girdileri!$J$6:$J$35,'Zaman'!Q9))),0)</f>
        <v/>
      </c>
      <c r="R13" s="18">
        <f>IF('Zaman'!R13=1,IF(Girdiler!$C$91=1,IF('Zaman'!R15=1,IF(Girdiler!$C$8="P90",INDEX(Python_girdileri!$AX$6:$AX$35,'Zaman'!R9),INDEX(Python_girdileri!$AP$6:$AP$35,'Zaman'!R9)),IF(Girdiler!$C$8="P90",INDEX(Python_girdileri!$AH$6:$AH$35,'Zaman'!R9),INDEX(Python_girdileri!$Z$6:$Z$35,'Zaman'!R9))),IF(Girdiler!$C$8="P90",INDEX(Python_girdileri!$R$6:$R$35,'Zaman'!R9),INDEX(Python_girdileri!$J$6:$J$35,'Zaman'!R9))),0)</f>
        <v/>
      </c>
      <c r="S13" s="18">
        <f>IF('Zaman'!S13=1,IF(Girdiler!$C$91=1,IF('Zaman'!S15=1,IF(Girdiler!$C$8="P90",INDEX(Python_girdileri!$AX$6:$AX$35,'Zaman'!S9),INDEX(Python_girdileri!$AP$6:$AP$35,'Zaman'!S9)),IF(Girdiler!$C$8="P90",INDEX(Python_girdileri!$AH$6:$AH$35,'Zaman'!S9),INDEX(Python_girdileri!$Z$6:$Z$35,'Zaman'!S9))),IF(Girdiler!$C$8="P90",INDEX(Python_girdileri!$R$6:$R$35,'Zaman'!S9),INDEX(Python_girdileri!$J$6:$J$35,'Zaman'!S9))),0)</f>
        <v/>
      </c>
      <c r="T13" s="18">
        <f>IF('Zaman'!T13=1,IF(Girdiler!$C$91=1,IF('Zaman'!T15=1,IF(Girdiler!$C$8="P90",INDEX(Python_girdileri!$AX$6:$AX$35,'Zaman'!T9),INDEX(Python_girdileri!$AP$6:$AP$35,'Zaman'!T9)),IF(Girdiler!$C$8="P90",INDEX(Python_girdileri!$AH$6:$AH$35,'Zaman'!T9),INDEX(Python_girdileri!$Z$6:$Z$35,'Zaman'!T9))),IF(Girdiler!$C$8="P90",INDEX(Python_girdileri!$R$6:$R$35,'Zaman'!T9),INDEX(Python_girdileri!$J$6:$J$35,'Zaman'!T9))),0)</f>
        <v/>
      </c>
      <c r="U13" s="18">
        <f>IF('Zaman'!U13=1,IF(Girdiler!$C$91=1,IF('Zaman'!U15=1,IF(Girdiler!$C$8="P90",INDEX(Python_girdileri!$AX$6:$AX$35,'Zaman'!U9),INDEX(Python_girdileri!$AP$6:$AP$35,'Zaman'!U9)),IF(Girdiler!$C$8="P90",INDEX(Python_girdileri!$AH$6:$AH$35,'Zaman'!U9),INDEX(Python_girdileri!$Z$6:$Z$35,'Zaman'!U9))),IF(Girdiler!$C$8="P90",INDEX(Python_girdileri!$R$6:$R$35,'Zaman'!U9),INDEX(Python_girdileri!$J$6:$J$35,'Zaman'!U9))),0)</f>
        <v/>
      </c>
      <c r="V13" s="18">
        <f>IF('Zaman'!V13=1,IF(Girdiler!$C$91=1,IF('Zaman'!V15=1,IF(Girdiler!$C$8="P90",INDEX(Python_girdileri!$AX$6:$AX$35,'Zaman'!V9),INDEX(Python_girdileri!$AP$6:$AP$35,'Zaman'!V9)),IF(Girdiler!$C$8="P90",INDEX(Python_girdileri!$AH$6:$AH$35,'Zaman'!V9),INDEX(Python_girdileri!$Z$6:$Z$35,'Zaman'!V9))),IF(Girdiler!$C$8="P90",INDEX(Python_girdileri!$R$6:$R$35,'Zaman'!V9),INDEX(Python_girdileri!$J$6:$J$35,'Zaman'!V9))),0)</f>
        <v/>
      </c>
      <c r="W13" s="18">
        <f>IF('Zaman'!W13=1,IF(Girdiler!$C$91=1,IF('Zaman'!W15=1,IF(Girdiler!$C$8="P90",INDEX(Python_girdileri!$AX$6:$AX$35,'Zaman'!W9),INDEX(Python_girdileri!$AP$6:$AP$35,'Zaman'!W9)),IF(Girdiler!$C$8="P90",INDEX(Python_girdileri!$AH$6:$AH$35,'Zaman'!W9),INDEX(Python_girdileri!$Z$6:$Z$35,'Zaman'!W9))),IF(Girdiler!$C$8="P90",INDEX(Python_girdileri!$R$6:$R$35,'Zaman'!W9),INDEX(Python_girdileri!$J$6:$J$35,'Zaman'!W9))),0)</f>
        <v/>
      </c>
      <c r="X13" s="18">
        <f>IF('Zaman'!X13=1,IF(Girdiler!$C$91=1,IF('Zaman'!X15=1,IF(Girdiler!$C$8="P90",INDEX(Python_girdileri!$AX$6:$AX$35,'Zaman'!X9),INDEX(Python_girdileri!$AP$6:$AP$35,'Zaman'!X9)),IF(Girdiler!$C$8="P90",INDEX(Python_girdileri!$AH$6:$AH$35,'Zaman'!X9),INDEX(Python_girdileri!$Z$6:$Z$35,'Zaman'!X9))),IF(Girdiler!$C$8="P90",INDEX(Python_girdileri!$R$6:$R$35,'Zaman'!X9),INDEX(Python_girdileri!$J$6:$J$35,'Zaman'!X9))),0)</f>
        <v/>
      </c>
      <c r="Y13" s="18">
        <f>IF('Zaman'!Y13=1,IF(Girdiler!$C$91=1,IF('Zaman'!Y15=1,IF(Girdiler!$C$8="P90",INDEX(Python_girdileri!$AX$6:$AX$35,'Zaman'!Y9),INDEX(Python_girdileri!$AP$6:$AP$35,'Zaman'!Y9)),IF(Girdiler!$C$8="P90",INDEX(Python_girdileri!$AH$6:$AH$35,'Zaman'!Y9),INDEX(Python_girdileri!$Z$6:$Z$35,'Zaman'!Y9))),IF(Girdiler!$C$8="P90",INDEX(Python_girdileri!$R$6:$R$35,'Zaman'!Y9),INDEX(Python_girdileri!$J$6:$J$35,'Zaman'!Y9))),0)</f>
        <v/>
      </c>
      <c r="Z13" s="18">
        <f>IF('Zaman'!Z13=1,IF(Girdiler!$C$91=1,IF('Zaman'!Z15=1,IF(Girdiler!$C$8="P90",INDEX(Python_girdileri!$AX$6:$AX$35,'Zaman'!Z9),INDEX(Python_girdileri!$AP$6:$AP$35,'Zaman'!Z9)),IF(Girdiler!$C$8="P90",INDEX(Python_girdileri!$AH$6:$AH$35,'Zaman'!Z9),INDEX(Python_girdileri!$Z$6:$Z$35,'Zaman'!Z9))),IF(Girdiler!$C$8="P90",INDEX(Python_girdileri!$R$6:$R$35,'Zaman'!Z9),INDEX(Python_girdileri!$J$6:$J$35,'Zaman'!Z9))),0)</f>
        <v/>
      </c>
      <c r="AA13" s="18">
        <f>IF('Zaman'!AA13=1,IF(Girdiler!$C$91=1,IF('Zaman'!AA15=1,IF(Girdiler!$C$8="P90",INDEX(Python_girdileri!$AX$6:$AX$35,'Zaman'!AA9),INDEX(Python_girdileri!$AP$6:$AP$35,'Zaman'!AA9)),IF(Girdiler!$C$8="P90",INDEX(Python_girdileri!$AH$6:$AH$35,'Zaman'!AA9),INDEX(Python_girdileri!$Z$6:$Z$35,'Zaman'!AA9))),IF(Girdiler!$C$8="P90",INDEX(Python_girdileri!$R$6:$R$35,'Zaman'!AA9),INDEX(Python_girdileri!$J$6:$J$35,'Zaman'!AA9))),0)</f>
        <v/>
      </c>
      <c r="AB13" s="18">
        <f>IF('Zaman'!AB13=1,IF(Girdiler!$C$91=1,IF('Zaman'!AB15=1,IF(Girdiler!$C$8="P90",INDEX(Python_girdileri!$AX$6:$AX$35,'Zaman'!AB9),INDEX(Python_girdileri!$AP$6:$AP$35,'Zaman'!AB9)),IF(Girdiler!$C$8="P90",INDEX(Python_girdileri!$AH$6:$AH$35,'Zaman'!AB9),INDEX(Python_girdileri!$Z$6:$Z$35,'Zaman'!AB9))),IF(Girdiler!$C$8="P90",INDEX(Python_girdileri!$R$6:$R$35,'Zaman'!AB9),INDEX(Python_girdileri!$J$6:$J$35,'Zaman'!AB9))),0)</f>
        <v/>
      </c>
      <c r="AC13" s="18">
        <f>IF('Zaman'!AC13=1,IF(Girdiler!$C$91=1,IF('Zaman'!AC15=1,IF(Girdiler!$C$8="P90",INDEX(Python_girdileri!$AX$6:$AX$35,'Zaman'!AC9),INDEX(Python_girdileri!$AP$6:$AP$35,'Zaman'!AC9)),IF(Girdiler!$C$8="P90",INDEX(Python_girdileri!$AH$6:$AH$35,'Zaman'!AC9),INDEX(Python_girdileri!$Z$6:$Z$35,'Zaman'!AC9))),IF(Girdiler!$C$8="P90",INDEX(Python_girdileri!$R$6:$R$35,'Zaman'!AC9),INDEX(Python_girdileri!$J$6:$J$35,'Zaman'!AC9))),0)</f>
        <v/>
      </c>
      <c r="AD13" s="18">
        <f>IF('Zaman'!AD13=1,IF(Girdiler!$C$91=1,IF('Zaman'!AD15=1,IF(Girdiler!$C$8="P90",INDEX(Python_girdileri!$AX$6:$AX$35,'Zaman'!AD9),INDEX(Python_girdileri!$AP$6:$AP$35,'Zaman'!AD9)),IF(Girdiler!$C$8="P90",INDEX(Python_girdileri!$AH$6:$AH$35,'Zaman'!AD9),INDEX(Python_girdileri!$Z$6:$Z$35,'Zaman'!AD9))),IF(Girdiler!$C$8="P90",INDEX(Python_girdileri!$R$6:$R$35,'Zaman'!AD9),INDEX(Python_girdileri!$J$6:$J$35,'Zaman'!AD9))),0)</f>
        <v/>
      </c>
      <c r="AE13" s="18">
        <f>IF('Zaman'!AE13=1,IF(Girdiler!$C$91=1,IF('Zaman'!AE15=1,IF(Girdiler!$C$8="P90",INDEX(Python_girdileri!$AX$6:$AX$35,'Zaman'!AE9),INDEX(Python_girdileri!$AP$6:$AP$35,'Zaman'!AE9)),IF(Girdiler!$C$8="P90",INDEX(Python_girdileri!$AH$6:$AH$35,'Zaman'!AE9),INDEX(Python_girdileri!$Z$6:$Z$35,'Zaman'!AE9))),IF(Girdiler!$C$8="P90",INDEX(Python_girdileri!$R$6:$R$35,'Zaman'!AE9),INDEX(Python_girdileri!$J$6:$J$35,'Zaman'!AE9))),0)</f>
        <v/>
      </c>
      <c r="AF13" s="18">
        <f>IF('Zaman'!AF13=1,IF(Girdiler!$C$91=1,IF('Zaman'!AF15=1,IF(Girdiler!$C$8="P90",INDEX(Python_girdileri!$AX$6:$AX$35,'Zaman'!AF9),INDEX(Python_girdileri!$AP$6:$AP$35,'Zaman'!AF9)),IF(Girdiler!$C$8="P90",INDEX(Python_girdileri!$AH$6:$AH$35,'Zaman'!AF9),INDEX(Python_girdileri!$Z$6:$Z$35,'Zaman'!AF9))),IF(Girdiler!$C$8="P90",INDEX(Python_girdileri!$R$6:$R$35,'Zaman'!AF9),INDEX(Python_girdileri!$J$6:$J$35,'Zaman'!AF9))),0)</f>
        <v/>
      </c>
      <c r="AG13" s="18">
        <f>IF('Zaman'!AG13=1,IF(Girdiler!$C$91=1,IF('Zaman'!AG15=1,IF(Girdiler!$C$8="P90",INDEX(Python_girdileri!$AX$6:$AX$35,'Zaman'!AG9),INDEX(Python_girdileri!$AP$6:$AP$35,'Zaman'!AG9)),IF(Girdiler!$C$8="P90",INDEX(Python_girdileri!$AH$6:$AH$35,'Zaman'!AG9),INDEX(Python_girdileri!$Z$6:$Z$35,'Zaman'!AG9))),IF(Girdiler!$C$8="P90",INDEX(Python_girdileri!$R$6:$R$35,'Zaman'!AG9),INDEX(Python_girdileri!$J$6:$J$35,'Zaman'!AG9))),0)</f>
        <v/>
      </c>
      <c r="AH13" s="18">
        <f>IF('Zaman'!AH13=1,IF(Girdiler!$C$91=1,IF('Zaman'!AH15=1,IF(Girdiler!$C$8="P90",INDEX(Python_girdileri!$AX$6:$AX$35,'Zaman'!AH9),INDEX(Python_girdileri!$AP$6:$AP$35,'Zaman'!AH9)),IF(Girdiler!$C$8="P90",INDEX(Python_girdileri!$AH$6:$AH$35,'Zaman'!AH9),INDEX(Python_girdileri!$Z$6:$Z$35,'Zaman'!AH9))),IF(Girdiler!$C$8="P90",INDEX(Python_girdileri!$R$6:$R$35,'Zaman'!AH9),INDEX(Python_girdileri!$J$6:$J$35,'Zaman'!AH9))),0)</f>
        <v/>
      </c>
      <c r="AI13" s="18">
        <f>IF('Zaman'!AI13=1,IF(Girdiler!$C$91=1,IF('Zaman'!AI15=1,IF(Girdiler!$C$8="P90",INDEX(Python_girdileri!$AX$6:$AX$35,'Zaman'!AI9),INDEX(Python_girdileri!$AP$6:$AP$35,'Zaman'!AI9)),IF(Girdiler!$C$8="P90",INDEX(Python_girdileri!$AH$6:$AH$35,'Zaman'!AI9),INDEX(Python_girdileri!$Z$6:$Z$35,'Zaman'!AI9))),IF(Girdiler!$C$8="P90",INDEX(Python_girdileri!$R$6:$R$35,'Zaman'!AI9),INDEX(Python_girdileri!$J$6:$J$35,'Zaman'!AI9))),0)</f>
        <v/>
      </c>
      <c r="AJ13" s="18">
        <f>IF('Zaman'!AJ13=1,IF(Girdiler!$C$91=1,IF('Zaman'!AJ15=1,IF(Girdiler!$C$8="P90",INDEX(Python_girdileri!$AX$6:$AX$35,'Zaman'!AJ9),INDEX(Python_girdileri!$AP$6:$AP$35,'Zaman'!AJ9)),IF(Girdiler!$C$8="P90",INDEX(Python_girdileri!$AH$6:$AH$35,'Zaman'!AJ9),INDEX(Python_girdileri!$Z$6:$Z$35,'Zaman'!AJ9))),IF(Girdiler!$C$8="P90",INDEX(Python_girdileri!$R$6:$R$35,'Zaman'!AJ9),INDEX(Python_girdileri!$J$6:$J$35,'Zaman'!AJ9))),0)</f>
        <v/>
      </c>
      <c r="AK13" s="18">
        <f>IF('Zaman'!AK13=1,IF(Girdiler!$C$91=1,IF('Zaman'!AK15=1,IF(Girdiler!$C$8="P90",INDEX(Python_girdileri!$AX$6:$AX$35,'Zaman'!AK9),INDEX(Python_girdileri!$AP$6:$AP$35,'Zaman'!AK9)),IF(Girdiler!$C$8="P90",INDEX(Python_girdileri!$AH$6:$AH$35,'Zaman'!AK9),INDEX(Python_girdileri!$Z$6:$Z$35,'Zaman'!AK9))),IF(Girdiler!$C$8="P90",INDEX(Python_girdileri!$R$6:$R$35,'Zaman'!AK9),INDEX(Python_girdileri!$J$6:$J$35,'Zaman'!AK9))),0)</f>
        <v/>
      </c>
      <c r="AL13" s="18">
        <f>IF('Zaman'!AL13=1,IF(Girdiler!$C$91=1,IF('Zaman'!AL15=1,IF(Girdiler!$C$8="P90",INDEX(Python_girdileri!$AX$6:$AX$35,'Zaman'!AL9),INDEX(Python_girdileri!$AP$6:$AP$35,'Zaman'!AL9)),IF(Girdiler!$C$8="P90",INDEX(Python_girdileri!$AH$6:$AH$35,'Zaman'!AL9),INDEX(Python_girdileri!$Z$6:$Z$35,'Zaman'!AL9))),IF(Girdiler!$C$8="P90",INDEX(Python_girdileri!$R$6:$R$35,'Zaman'!AL9),INDEX(Python_girdileri!$J$6:$J$35,'Zaman'!AL9))),0)</f>
        <v/>
      </c>
      <c r="AM13" s="18">
        <f>IF('Zaman'!AM13=1,IF(Girdiler!$C$91=1,IF('Zaman'!AM15=1,IF(Girdiler!$C$8="P90",INDEX(Python_girdileri!$AX$6:$AX$35,'Zaman'!AM9),INDEX(Python_girdileri!$AP$6:$AP$35,'Zaman'!AM9)),IF(Girdiler!$C$8="P90",INDEX(Python_girdileri!$AH$6:$AH$35,'Zaman'!AM9),INDEX(Python_girdileri!$Z$6:$Z$35,'Zaman'!AM9))),IF(Girdiler!$C$8="P90",INDEX(Python_girdileri!$R$6:$R$35,'Zaman'!AM9),INDEX(Python_girdileri!$J$6:$J$35,'Zaman'!AM9))),0)</f>
        <v/>
      </c>
      <c r="AN13" s="18">
        <f>IF('Zaman'!AN13=1,IF(Girdiler!$C$91=1,IF('Zaman'!AN15=1,IF(Girdiler!$C$8="P90",INDEX(Python_girdileri!$AX$6:$AX$35,'Zaman'!AN9),INDEX(Python_girdileri!$AP$6:$AP$35,'Zaman'!AN9)),IF(Girdiler!$C$8="P90",INDEX(Python_girdileri!$AH$6:$AH$35,'Zaman'!AN9),INDEX(Python_girdileri!$Z$6:$Z$35,'Zaman'!AN9))),IF(Girdiler!$C$8="P90",INDEX(Python_girdileri!$R$6:$R$35,'Zaman'!AN9),INDEX(Python_girdileri!$J$6:$J$35,'Zaman'!AN9))),0)</f>
        <v/>
      </c>
      <c r="AO13" s="18">
        <f>IF('Zaman'!AO13=1,IF(Girdiler!$C$91=1,IF('Zaman'!AO15=1,IF(Girdiler!$C$8="P90",INDEX(Python_girdileri!$AX$6:$AX$35,'Zaman'!AO9),INDEX(Python_girdileri!$AP$6:$AP$35,'Zaman'!AO9)),IF(Girdiler!$C$8="P90",INDEX(Python_girdileri!$AH$6:$AH$35,'Zaman'!AO9),INDEX(Python_girdileri!$Z$6:$Z$35,'Zaman'!AO9))),IF(Girdiler!$C$8="P90",INDEX(Python_girdileri!$R$6:$R$35,'Zaman'!AO9),INDEX(Python_girdileri!$J$6:$J$35,'Zaman'!AO9))),0)</f>
        <v/>
      </c>
      <c r="AP13" s="18">
        <f>IF('Zaman'!AP13=1,IF(Girdiler!$C$91=1,IF('Zaman'!AP15=1,IF(Girdiler!$C$8="P90",INDEX(Python_girdileri!$AX$6:$AX$35,'Zaman'!AP9),INDEX(Python_girdileri!$AP$6:$AP$35,'Zaman'!AP9)),IF(Girdiler!$C$8="P90",INDEX(Python_girdileri!$AH$6:$AH$35,'Zaman'!AP9),INDEX(Python_girdileri!$Z$6:$Z$35,'Zaman'!AP9))),IF(Girdiler!$C$8="P90",INDEX(Python_girdileri!$R$6:$R$35,'Zaman'!AP9),INDEX(Python_girdileri!$J$6:$J$35,'Zaman'!AP9))),0)</f>
        <v/>
      </c>
      <c r="AQ13" s="18">
        <f>IF('Zaman'!AQ13=1,IF(Girdiler!$C$91=1,IF('Zaman'!AQ15=1,IF(Girdiler!$C$8="P90",INDEX(Python_girdileri!$AX$6:$AX$35,'Zaman'!AQ9),INDEX(Python_girdileri!$AP$6:$AP$35,'Zaman'!AQ9)),IF(Girdiler!$C$8="P90",INDEX(Python_girdileri!$AH$6:$AH$35,'Zaman'!AQ9),INDEX(Python_girdileri!$Z$6:$Z$35,'Zaman'!AQ9))),IF(Girdiler!$C$8="P90",INDEX(Python_girdileri!$R$6:$R$35,'Zaman'!AQ9),INDEX(Python_girdileri!$J$6:$J$35,'Zaman'!AQ9))),0)</f>
        <v/>
      </c>
      <c r="AR13" s="18">
        <f>IF('Zaman'!AR13=1,IF(Girdiler!$C$91=1,IF('Zaman'!AR15=1,IF(Girdiler!$C$8="P90",INDEX(Python_girdileri!$AX$6:$AX$35,'Zaman'!AR9),INDEX(Python_girdileri!$AP$6:$AP$35,'Zaman'!AR9)),IF(Girdiler!$C$8="P90",INDEX(Python_girdileri!$AH$6:$AH$35,'Zaman'!AR9),INDEX(Python_girdileri!$Z$6:$Z$35,'Zaman'!AR9))),IF(Girdiler!$C$8="P90",INDEX(Python_girdileri!$R$6:$R$35,'Zaman'!AR9),INDEX(Python_girdileri!$J$6:$J$35,'Zaman'!AR9))),0)</f>
        <v/>
      </c>
    </row>
    <row r="14">
      <c r="A14" t="inlineStr">
        <is>
          <t>E_k</t>
        </is>
      </c>
      <c r="B14" t="inlineStr">
        <is>
          <t>MWh</t>
        </is>
      </c>
      <c r="C14" t="inlineStr">
        <is>
          <t>Python_girdileri (rejim: katılıma göre Y1/Y0, aksi T)</t>
        </is>
      </c>
      <c r="D14" s="18">
        <f>SUM(F14:AR14)</f>
        <v/>
      </c>
      <c r="E14" s="18" t="n">
        <v>0</v>
      </c>
      <c r="F14" s="18">
        <f>IF('Zaman'!F13=1,IF(Girdiler!$C$91=1,IF('Zaman'!F15=1,IF(Girdiler!$C$8="P90",INDEX(Python_girdileri!$AY$6:$AY$35,'Zaman'!F9),INDEX(Python_girdileri!$AQ$6:$AQ$35,'Zaman'!F9)),IF(Girdiler!$C$8="P90",INDEX(Python_girdileri!$AI$6:$AI$35,'Zaman'!F9),INDEX(Python_girdileri!$AA$6:$AA$35,'Zaman'!F9))),IF(Girdiler!$C$8="P90",INDEX(Python_girdileri!$S$6:$S$35,'Zaman'!F9),INDEX(Python_girdileri!$K$6:$K$35,'Zaman'!F9))),0)</f>
        <v/>
      </c>
      <c r="G14" s="18">
        <f>IF('Zaman'!G13=1,IF(Girdiler!$C$91=1,IF('Zaman'!G15=1,IF(Girdiler!$C$8="P90",INDEX(Python_girdileri!$AY$6:$AY$35,'Zaman'!G9),INDEX(Python_girdileri!$AQ$6:$AQ$35,'Zaman'!G9)),IF(Girdiler!$C$8="P90",INDEX(Python_girdileri!$AI$6:$AI$35,'Zaman'!G9),INDEX(Python_girdileri!$AA$6:$AA$35,'Zaman'!G9))),IF(Girdiler!$C$8="P90",INDEX(Python_girdileri!$S$6:$S$35,'Zaman'!G9),INDEX(Python_girdileri!$K$6:$K$35,'Zaman'!G9))),0)</f>
        <v/>
      </c>
      <c r="H14" s="18">
        <f>IF('Zaman'!H13=1,IF(Girdiler!$C$91=1,IF('Zaman'!H15=1,IF(Girdiler!$C$8="P90",INDEX(Python_girdileri!$AY$6:$AY$35,'Zaman'!H9),INDEX(Python_girdileri!$AQ$6:$AQ$35,'Zaman'!H9)),IF(Girdiler!$C$8="P90",INDEX(Python_girdileri!$AI$6:$AI$35,'Zaman'!H9),INDEX(Python_girdileri!$AA$6:$AA$35,'Zaman'!H9))),IF(Girdiler!$C$8="P90",INDEX(Python_girdileri!$S$6:$S$35,'Zaman'!H9),INDEX(Python_girdileri!$K$6:$K$35,'Zaman'!H9))),0)</f>
        <v/>
      </c>
      <c r="I14" s="18">
        <f>IF('Zaman'!I13=1,IF(Girdiler!$C$91=1,IF('Zaman'!I15=1,IF(Girdiler!$C$8="P90",INDEX(Python_girdileri!$AY$6:$AY$35,'Zaman'!I9),INDEX(Python_girdileri!$AQ$6:$AQ$35,'Zaman'!I9)),IF(Girdiler!$C$8="P90",INDEX(Python_girdileri!$AI$6:$AI$35,'Zaman'!I9),INDEX(Python_girdileri!$AA$6:$AA$35,'Zaman'!I9))),IF(Girdiler!$C$8="P90",INDEX(Python_girdileri!$S$6:$S$35,'Zaman'!I9),INDEX(Python_girdileri!$K$6:$K$35,'Zaman'!I9))),0)</f>
        <v/>
      </c>
      <c r="J14" s="18">
        <f>IF('Zaman'!J13=1,IF(Girdiler!$C$91=1,IF('Zaman'!J15=1,IF(Girdiler!$C$8="P90",INDEX(Python_girdileri!$AY$6:$AY$35,'Zaman'!J9),INDEX(Python_girdileri!$AQ$6:$AQ$35,'Zaman'!J9)),IF(Girdiler!$C$8="P90",INDEX(Python_girdileri!$AI$6:$AI$35,'Zaman'!J9),INDEX(Python_girdileri!$AA$6:$AA$35,'Zaman'!J9))),IF(Girdiler!$C$8="P90",INDEX(Python_girdileri!$S$6:$S$35,'Zaman'!J9),INDEX(Python_girdileri!$K$6:$K$35,'Zaman'!J9))),0)</f>
        <v/>
      </c>
      <c r="K14" s="18">
        <f>IF('Zaman'!K13=1,IF(Girdiler!$C$91=1,IF('Zaman'!K15=1,IF(Girdiler!$C$8="P90",INDEX(Python_girdileri!$AY$6:$AY$35,'Zaman'!K9),INDEX(Python_girdileri!$AQ$6:$AQ$35,'Zaman'!K9)),IF(Girdiler!$C$8="P90",INDEX(Python_girdileri!$AI$6:$AI$35,'Zaman'!K9),INDEX(Python_girdileri!$AA$6:$AA$35,'Zaman'!K9))),IF(Girdiler!$C$8="P90",INDEX(Python_girdileri!$S$6:$S$35,'Zaman'!K9),INDEX(Python_girdileri!$K$6:$K$35,'Zaman'!K9))),0)</f>
        <v/>
      </c>
      <c r="L14" s="18">
        <f>IF('Zaman'!L13=1,IF(Girdiler!$C$91=1,IF('Zaman'!L15=1,IF(Girdiler!$C$8="P90",INDEX(Python_girdileri!$AY$6:$AY$35,'Zaman'!L9),INDEX(Python_girdileri!$AQ$6:$AQ$35,'Zaman'!L9)),IF(Girdiler!$C$8="P90",INDEX(Python_girdileri!$AI$6:$AI$35,'Zaman'!L9),INDEX(Python_girdileri!$AA$6:$AA$35,'Zaman'!L9))),IF(Girdiler!$C$8="P90",INDEX(Python_girdileri!$S$6:$S$35,'Zaman'!L9),INDEX(Python_girdileri!$K$6:$K$35,'Zaman'!L9))),0)</f>
        <v/>
      </c>
      <c r="M14" s="18">
        <f>IF('Zaman'!M13=1,IF(Girdiler!$C$91=1,IF('Zaman'!M15=1,IF(Girdiler!$C$8="P90",INDEX(Python_girdileri!$AY$6:$AY$35,'Zaman'!M9),INDEX(Python_girdileri!$AQ$6:$AQ$35,'Zaman'!M9)),IF(Girdiler!$C$8="P90",INDEX(Python_girdileri!$AI$6:$AI$35,'Zaman'!M9),INDEX(Python_girdileri!$AA$6:$AA$35,'Zaman'!M9))),IF(Girdiler!$C$8="P90",INDEX(Python_girdileri!$S$6:$S$35,'Zaman'!M9),INDEX(Python_girdileri!$K$6:$K$35,'Zaman'!M9))),0)</f>
        <v/>
      </c>
      <c r="N14" s="18">
        <f>IF('Zaman'!N13=1,IF(Girdiler!$C$91=1,IF('Zaman'!N15=1,IF(Girdiler!$C$8="P90",INDEX(Python_girdileri!$AY$6:$AY$35,'Zaman'!N9),INDEX(Python_girdileri!$AQ$6:$AQ$35,'Zaman'!N9)),IF(Girdiler!$C$8="P90",INDEX(Python_girdileri!$AI$6:$AI$35,'Zaman'!N9),INDEX(Python_girdileri!$AA$6:$AA$35,'Zaman'!N9))),IF(Girdiler!$C$8="P90",INDEX(Python_girdileri!$S$6:$S$35,'Zaman'!N9),INDEX(Python_girdileri!$K$6:$K$35,'Zaman'!N9))),0)</f>
        <v/>
      </c>
      <c r="O14" s="18">
        <f>IF('Zaman'!O13=1,IF(Girdiler!$C$91=1,IF('Zaman'!O15=1,IF(Girdiler!$C$8="P90",INDEX(Python_girdileri!$AY$6:$AY$35,'Zaman'!O9),INDEX(Python_girdileri!$AQ$6:$AQ$35,'Zaman'!O9)),IF(Girdiler!$C$8="P90",INDEX(Python_girdileri!$AI$6:$AI$35,'Zaman'!O9),INDEX(Python_girdileri!$AA$6:$AA$35,'Zaman'!O9))),IF(Girdiler!$C$8="P90",INDEX(Python_girdileri!$S$6:$S$35,'Zaman'!O9),INDEX(Python_girdileri!$K$6:$K$35,'Zaman'!O9))),0)</f>
        <v/>
      </c>
      <c r="P14" s="18">
        <f>IF('Zaman'!P13=1,IF(Girdiler!$C$91=1,IF('Zaman'!P15=1,IF(Girdiler!$C$8="P90",INDEX(Python_girdileri!$AY$6:$AY$35,'Zaman'!P9),INDEX(Python_girdileri!$AQ$6:$AQ$35,'Zaman'!P9)),IF(Girdiler!$C$8="P90",INDEX(Python_girdileri!$AI$6:$AI$35,'Zaman'!P9),INDEX(Python_girdileri!$AA$6:$AA$35,'Zaman'!P9))),IF(Girdiler!$C$8="P90",INDEX(Python_girdileri!$S$6:$S$35,'Zaman'!P9),INDEX(Python_girdileri!$K$6:$K$35,'Zaman'!P9))),0)</f>
        <v/>
      </c>
      <c r="Q14" s="18">
        <f>IF('Zaman'!Q13=1,IF(Girdiler!$C$91=1,IF('Zaman'!Q15=1,IF(Girdiler!$C$8="P90",INDEX(Python_girdileri!$AY$6:$AY$35,'Zaman'!Q9),INDEX(Python_girdileri!$AQ$6:$AQ$35,'Zaman'!Q9)),IF(Girdiler!$C$8="P90",INDEX(Python_girdileri!$AI$6:$AI$35,'Zaman'!Q9),INDEX(Python_girdileri!$AA$6:$AA$35,'Zaman'!Q9))),IF(Girdiler!$C$8="P90",INDEX(Python_girdileri!$S$6:$S$35,'Zaman'!Q9),INDEX(Python_girdileri!$K$6:$K$35,'Zaman'!Q9))),0)</f>
        <v/>
      </c>
      <c r="R14" s="18">
        <f>IF('Zaman'!R13=1,IF(Girdiler!$C$91=1,IF('Zaman'!R15=1,IF(Girdiler!$C$8="P90",INDEX(Python_girdileri!$AY$6:$AY$35,'Zaman'!R9),INDEX(Python_girdileri!$AQ$6:$AQ$35,'Zaman'!R9)),IF(Girdiler!$C$8="P90",INDEX(Python_girdileri!$AI$6:$AI$35,'Zaman'!R9),INDEX(Python_girdileri!$AA$6:$AA$35,'Zaman'!R9))),IF(Girdiler!$C$8="P90",INDEX(Python_girdileri!$S$6:$S$35,'Zaman'!R9),INDEX(Python_girdileri!$K$6:$K$35,'Zaman'!R9))),0)</f>
        <v/>
      </c>
      <c r="S14" s="18">
        <f>IF('Zaman'!S13=1,IF(Girdiler!$C$91=1,IF('Zaman'!S15=1,IF(Girdiler!$C$8="P90",INDEX(Python_girdileri!$AY$6:$AY$35,'Zaman'!S9),INDEX(Python_girdileri!$AQ$6:$AQ$35,'Zaman'!S9)),IF(Girdiler!$C$8="P90",INDEX(Python_girdileri!$AI$6:$AI$35,'Zaman'!S9),INDEX(Python_girdileri!$AA$6:$AA$35,'Zaman'!S9))),IF(Girdiler!$C$8="P90",INDEX(Python_girdileri!$S$6:$S$35,'Zaman'!S9),INDEX(Python_girdileri!$K$6:$K$35,'Zaman'!S9))),0)</f>
        <v/>
      </c>
      <c r="T14" s="18">
        <f>IF('Zaman'!T13=1,IF(Girdiler!$C$91=1,IF('Zaman'!T15=1,IF(Girdiler!$C$8="P90",INDEX(Python_girdileri!$AY$6:$AY$35,'Zaman'!T9),INDEX(Python_girdileri!$AQ$6:$AQ$35,'Zaman'!T9)),IF(Girdiler!$C$8="P90",INDEX(Python_girdileri!$AI$6:$AI$35,'Zaman'!T9),INDEX(Python_girdileri!$AA$6:$AA$35,'Zaman'!T9))),IF(Girdiler!$C$8="P90",INDEX(Python_girdileri!$S$6:$S$35,'Zaman'!T9),INDEX(Python_girdileri!$K$6:$K$35,'Zaman'!T9))),0)</f>
        <v/>
      </c>
      <c r="U14" s="18">
        <f>IF('Zaman'!U13=1,IF(Girdiler!$C$91=1,IF('Zaman'!U15=1,IF(Girdiler!$C$8="P90",INDEX(Python_girdileri!$AY$6:$AY$35,'Zaman'!U9),INDEX(Python_girdileri!$AQ$6:$AQ$35,'Zaman'!U9)),IF(Girdiler!$C$8="P90",INDEX(Python_girdileri!$AI$6:$AI$35,'Zaman'!U9),INDEX(Python_girdileri!$AA$6:$AA$35,'Zaman'!U9))),IF(Girdiler!$C$8="P90",INDEX(Python_girdileri!$S$6:$S$35,'Zaman'!U9),INDEX(Python_girdileri!$K$6:$K$35,'Zaman'!U9))),0)</f>
        <v/>
      </c>
      <c r="V14" s="18">
        <f>IF('Zaman'!V13=1,IF(Girdiler!$C$91=1,IF('Zaman'!V15=1,IF(Girdiler!$C$8="P90",INDEX(Python_girdileri!$AY$6:$AY$35,'Zaman'!V9),INDEX(Python_girdileri!$AQ$6:$AQ$35,'Zaman'!V9)),IF(Girdiler!$C$8="P90",INDEX(Python_girdileri!$AI$6:$AI$35,'Zaman'!V9),INDEX(Python_girdileri!$AA$6:$AA$35,'Zaman'!V9))),IF(Girdiler!$C$8="P90",INDEX(Python_girdileri!$S$6:$S$35,'Zaman'!V9),INDEX(Python_girdileri!$K$6:$K$35,'Zaman'!V9))),0)</f>
        <v/>
      </c>
      <c r="W14" s="18">
        <f>IF('Zaman'!W13=1,IF(Girdiler!$C$91=1,IF('Zaman'!W15=1,IF(Girdiler!$C$8="P90",INDEX(Python_girdileri!$AY$6:$AY$35,'Zaman'!W9),INDEX(Python_girdileri!$AQ$6:$AQ$35,'Zaman'!W9)),IF(Girdiler!$C$8="P90",INDEX(Python_girdileri!$AI$6:$AI$35,'Zaman'!W9),INDEX(Python_girdileri!$AA$6:$AA$35,'Zaman'!W9))),IF(Girdiler!$C$8="P90",INDEX(Python_girdileri!$S$6:$S$35,'Zaman'!W9),INDEX(Python_girdileri!$K$6:$K$35,'Zaman'!W9))),0)</f>
        <v/>
      </c>
      <c r="X14" s="18">
        <f>IF('Zaman'!X13=1,IF(Girdiler!$C$91=1,IF('Zaman'!X15=1,IF(Girdiler!$C$8="P90",INDEX(Python_girdileri!$AY$6:$AY$35,'Zaman'!X9),INDEX(Python_girdileri!$AQ$6:$AQ$35,'Zaman'!X9)),IF(Girdiler!$C$8="P90",INDEX(Python_girdileri!$AI$6:$AI$35,'Zaman'!X9),INDEX(Python_girdileri!$AA$6:$AA$35,'Zaman'!X9))),IF(Girdiler!$C$8="P90",INDEX(Python_girdileri!$S$6:$S$35,'Zaman'!X9),INDEX(Python_girdileri!$K$6:$K$35,'Zaman'!X9))),0)</f>
        <v/>
      </c>
      <c r="Y14" s="18">
        <f>IF('Zaman'!Y13=1,IF(Girdiler!$C$91=1,IF('Zaman'!Y15=1,IF(Girdiler!$C$8="P90",INDEX(Python_girdileri!$AY$6:$AY$35,'Zaman'!Y9),INDEX(Python_girdileri!$AQ$6:$AQ$35,'Zaman'!Y9)),IF(Girdiler!$C$8="P90",INDEX(Python_girdileri!$AI$6:$AI$35,'Zaman'!Y9),INDEX(Python_girdileri!$AA$6:$AA$35,'Zaman'!Y9))),IF(Girdiler!$C$8="P90",INDEX(Python_girdileri!$S$6:$S$35,'Zaman'!Y9),INDEX(Python_girdileri!$K$6:$K$35,'Zaman'!Y9))),0)</f>
        <v/>
      </c>
      <c r="Z14" s="18">
        <f>IF('Zaman'!Z13=1,IF(Girdiler!$C$91=1,IF('Zaman'!Z15=1,IF(Girdiler!$C$8="P90",INDEX(Python_girdileri!$AY$6:$AY$35,'Zaman'!Z9),INDEX(Python_girdileri!$AQ$6:$AQ$35,'Zaman'!Z9)),IF(Girdiler!$C$8="P90",INDEX(Python_girdileri!$AI$6:$AI$35,'Zaman'!Z9),INDEX(Python_girdileri!$AA$6:$AA$35,'Zaman'!Z9))),IF(Girdiler!$C$8="P90",INDEX(Python_girdileri!$S$6:$S$35,'Zaman'!Z9),INDEX(Python_girdileri!$K$6:$K$35,'Zaman'!Z9))),0)</f>
        <v/>
      </c>
      <c r="AA14" s="18">
        <f>IF('Zaman'!AA13=1,IF(Girdiler!$C$91=1,IF('Zaman'!AA15=1,IF(Girdiler!$C$8="P90",INDEX(Python_girdileri!$AY$6:$AY$35,'Zaman'!AA9),INDEX(Python_girdileri!$AQ$6:$AQ$35,'Zaman'!AA9)),IF(Girdiler!$C$8="P90",INDEX(Python_girdileri!$AI$6:$AI$35,'Zaman'!AA9),INDEX(Python_girdileri!$AA$6:$AA$35,'Zaman'!AA9))),IF(Girdiler!$C$8="P90",INDEX(Python_girdileri!$S$6:$S$35,'Zaman'!AA9),INDEX(Python_girdileri!$K$6:$K$35,'Zaman'!AA9))),0)</f>
        <v/>
      </c>
      <c r="AB14" s="18">
        <f>IF('Zaman'!AB13=1,IF(Girdiler!$C$91=1,IF('Zaman'!AB15=1,IF(Girdiler!$C$8="P90",INDEX(Python_girdileri!$AY$6:$AY$35,'Zaman'!AB9),INDEX(Python_girdileri!$AQ$6:$AQ$35,'Zaman'!AB9)),IF(Girdiler!$C$8="P90",INDEX(Python_girdileri!$AI$6:$AI$35,'Zaman'!AB9),INDEX(Python_girdileri!$AA$6:$AA$35,'Zaman'!AB9))),IF(Girdiler!$C$8="P90",INDEX(Python_girdileri!$S$6:$S$35,'Zaman'!AB9),INDEX(Python_girdileri!$K$6:$K$35,'Zaman'!AB9))),0)</f>
        <v/>
      </c>
      <c r="AC14" s="18">
        <f>IF('Zaman'!AC13=1,IF(Girdiler!$C$91=1,IF('Zaman'!AC15=1,IF(Girdiler!$C$8="P90",INDEX(Python_girdileri!$AY$6:$AY$35,'Zaman'!AC9),INDEX(Python_girdileri!$AQ$6:$AQ$35,'Zaman'!AC9)),IF(Girdiler!$C$8="P90",INDEX(Python_girdileri!$AI$6:$AI$35,'Zaman'!AC9),INDEX(Python_girdileri!$AA$6:$AA$35,'Zaman'!AC9))),IF(Girdiler!$C$8="P90",INDEX(Python_girdileri!$S$6:$S$35,'Zaman'!AC9),INDEX(Python_girdileri!$K$6:$K$35,'Zaman'!AC9))),0)</f>
        <v/>
      </c>
      <c r="AD14" s="18">
        <f>IF('Zaman'!AD13=1,IF(Girdiler!$C$91=1,IF('Zaman'!AD15=1,IF(Girdiler!$C$8="P90",INDEX(Python_girdileri!$AY$6:$AY$35,'Zaman'!AD9),INDEX(Python_girdileri!$AQ$6:$AQ$35,'Zaman'!AD9)),IF(Girdiler!$C$8="P90",INDEX(Python_girdileri!$AI$6:$AI$35,'Zaman'!AD9),INDEX(Python_girdileri!$AA$6:$AA$35,'Zaman'!AD9))),IF(Girdiler!$C$8="P90",INDEX(Python_girdileri!$S$6:$S$35,'Zaman'!AD9),INDEX(Python_girdileri!$K$6:$K$35,'Zaman'!AD9))),0)</f>
        <v/>
      </c>
      <c r="AE14" s="18">
        <f>IF('Zaman'!AE13=1,IF(Girdiler!$C$91=1,IF('Zaman'!AE15=1,IF(Girdiler!$C$8="P90",INDEX(Python_girdileri!$AY$6:$AY$35,'Zaman'!AE9),INDEX(Python_girdileri!$AQ$6:$AQ$35,'Zaman'!AE9)),IF(Girdiler!$C$8="P90",INDEX(Python_girdileri!$AI$6:$AI$35,'Zaman'!AE9),INDEX(Python_girdileri!$AA$6:$AA$35,'Zaman'!AE9))),IF(Girdiler!$C$8="P90",INDEX(Python_girdileri!$S$6:$S$35,'Zaman'!AE9),INDEX(Python_girdileri!$K$6:$K$35,'Zaman'!AE9))),0)</f>
        <v/>
      </c>
      <c r="AF14" s="18">
        <f>IF('Zaman'!AF13=1,IF(Girdiler!$C$91=1,IF('Zaman'!AF15=1,IF(Girdiler!$C$8="P90",INDEX(Python_girdileri!$AY$6:$AY$35,'Zaman'!AF9),INDEX(Python_girdileri!$AQ$6:$AQ$35,'Zaman'!AF9)),IF(Girdiler!$C$8="P90",INDEX(Python_girdileri!$AI$6:$AI$35,'Zaman'!AF9),INDEX(Python_girdileri!$AA$6:$AA$35,'Zaman'!AF9))),IF(Girdiler!$C$8="P90",INDEX(Python_girdileri!$S$6:$S$35,'Zaman'!AF9),INDEX(Python_girdileri!$K$6:$K$35,'Zaman'!AF9))),0)</f>
        <v/>
      </c>
      <c r="AG14" s="18">
        <f>IF('Zaman'!AG13=1,IF(Girdiler!$C$91=1,IF('Zaman'!AG15=1,IF(Girdiler!$C$8="P90",INDEX(Python_girdileri!$AY$6:$AY$35,'Zaman'!AG9),INDEX(Python_girdileri!$AQ$6:$AQ$35,'Zaman'!AG9)),IF(Girdiler!$C$8="P90",INDEX(Python_girdileri!$AI$6:$AI$35,'Zaman'!AG9),INDEX(Python_girdileri!$AA$6:$AA$35,'Zaman'!AG9))),IF(Girdiler!$C$8="P90",INDEX(Python_girdileri!$S$6:$S$35,'Zaman'!AG9),INDEX(Python_girdileri!$K$6:$K$35,'Zaman'!AG9))),0)</f>
        <v/>
      </c>
      <c r="AH14" s="18">
        <f>IF('Zaman'!AH13=1,IF(Girdiler!$C$91=1,IF('Zaman'!AH15=1,IF(Girdiler!$C$8="P90",INDEX(Python_girdileri!$AY$6:$AY$35,'Zaman'!AH9),INDEX(Python_girdileri!$AQ$6:$AQ$35,'Zaman'!AH9)),IF(Girdiler!$C$8="P90",INDEX(Python_girdileri!$AI$6:$AI$35,'Zaman'!AH9),INDEX(Python_girdileri!$AA$6:$AA$35,'Zaman'!AH9))),IF(Girdiler!$C$8="P90",INDEX(Python_girdileri!$S$6:$S$35,'Zaman'!AH9),INDEX(Python_girdileri!$K$6:$K$35,'Zaman'!AH9))),0)</f>
        <v/>
      </c>
      <c r="AI14" s="18">
        <f>IF('Zaman'!AI13=1,IF(Girdiler!$C$91=1,IF('Zaman'!AI15=1,IF(Girdiler!$C$8="P90",INDEX(Python_girdileri!$AY$6:$AY$35,'Zaman'!AI9),INDEX(Python_girdileri!$AQ$6:$AQ$35,'Zaman'!AI9)),IF(Girdiler!$C$8="P90",INDEX(Python_girdileri!$AI$6:$AI$35,'Zaman'!AI9),INDEX(Python_girdileri!$AA$6:$AA$35,'Zaman'!AI9))),IF(Girdiler!$C$8="P90",INDEX(Python_girdileri!$S$6:$S$35,'Zaman'!AI9),INDEX(Python_girdileri!$K$6:$K$35,'Zaman'!AI9))),0)</f>
        <v/>
      </c>
      <c r="AJ14" s="18">
        <f>IF('Zaman'!AJ13=1,IF(Girdiler!$C$91=1,IF('Zaman'!AJ15=1,IF(Girdiler!$C$8="P90",INDEX(Python_girdileri!$AY$6:$AY$35,'Zaman'!AJ9),INDEX(Python_girdileri!$AQ$6:$AQ$35,'Zaman'!AJ9)),IF(Girdiler!$C$8="P90",INDEX(Python_girdileri!$AI$6:$AI$35,'Zaman'!AJ9),INDEX(Python_girdileri!$AA$6:$AA$35,'Zaman'!AJ9))),IF(Girdiler!$C$8="P90",INDEX(Python_girdileri!$S$6:$S$35,'Zaman'!AJ9),INDEX(Python_girdileri!$K$6:$K$35,'Zaman'!AJ9))),0)</f>
        <v/>
      </c>
      <c r="AK14" s="18">
        <f>IF('Zaman'!AK13=1,IF(Girdiler!$C$91=1,IF('Zaman'!AK15=1,IF(Girdiler!$C$8="P90",INDEX(Python_girdileri!$AY$6:$AY$35,'Zaman'!AK9),INDEX(Python_girdileri!$AQ$6:$AQ$35,'Zaman'!AK9)),IF(Girdiler!$C$8="P90",INDEX(Python_girdileri!$AI$6:$AI$35,'Zaman'!AK9),INDEX(Python_girdileri!$AA$6:$AA$35,'Zaman'!AK9))),IF(Girdiler!$C$8="P90",INDEX(Python_girdileri!$S$6:$S$35,'Zaman'!AK9),INDEX(Python_girdileri!$K$6:$K$35,'Zaman'!AK9))),0)</f>
        <v/>
      </c>
      <c r="AL14" s="18">
        <f>IF('Zaman'!AL13=1,IF(Girdiler!$C$91=1,IF('Zaman'!AL15=1,IF(Girdiler!$C$8="P90",INDEX(Python_girdileri!$AY$6:$AY$35,'Zaman'!AL9),INDEX(Python_girdileri!$AQ$6:$AQ$35,'Zaman'!AL9)),IF(Girdiler!$C$8="P90",INDEX(Python_girdileri!$AI$6:$AI$35,'Zaman'!AL9),INDEX(Python_girdileri!$AA$6:$AA$35,'Zaman'!AL9))),IF(Girdiler!$C$8="P90",INDEX(Python_girdileri!$S$6:$S$35,'Zaman'!AL9),INDEX(Python_girdileri!$K$6:$K$35,'Zaman'!AL9))),0)</f>
        <v/>
      </c>
      <c r="AM14" s="18">
        <f>IF('Zaman'!AM13=1,IF(Girdiler!$C$91=1,IF('Zaman'!AM15=1,IF(Girdiler!$C$8="P90",INDEX(Python_girdileri!$AY$6:$AY$35,'Zaman'!AM9),INDEX(Python_girdileri!$AQ$6:$AQ$35,'Zaman'!AM9)),IF(Girdiler!$C$8="P90",INDEX(Python_girdileri!$AI$6:$AI$35,'Zaman'!AM9),INDEX(Python_girdileri!$AA$6:$AA$35,'Zaman'!AM9))),IF(Girdiler!$C$8="P90",INDEX(Python_girdileri!$S$6:$S$35,'Zaman'!AM9),INDEX(Python_girdileri!$K$6:$K$35,'Zaman'!AM9))),0)</f>
        <v/>
      </c>
      <c r="AN14" s="18">
        <f>IF('Zaman'!AN13=1,IF(Girdiler!$C$91=1,IF('Zaman'!AN15=1,IF(Girdiler!$C$8="P90",INDEX(Python_girdileri!$AY$6:$AY$35,'Zaman'!AN9),INDEX(Python_girdileri!$AQ$6:$AQ$35,'Zaman'!AN9)),IF(Girdiler!$C$8="P90",INDEX(Python_girdileri!$AI$6:$AI$35,'Zaman'!AN9),INDEX(Python_girdileri!$AA$6:$AA$35,'Zaman'!AN9))),IF(Girdiler!$C$8="P90",INDEX(Python_girdileri!$S$6:$S$35,'Zaman'!AN9),INDEX(Python_girdileri!$K$6:$K$35,'Zaman'!AN9))),0)</f>
        <v/>
      </c>
      <c r="AO14" s="18">
        <f>IF('Zaman'!AO13=1,IF(Girdiler!$C$91=1,IF('Zaman'!AO15=1,IF(Girdiler!$C$8="P90",INDEX(Python_girdileri!$AY$6:$AY$35,'Zaman'!AO9),INDEX(Python_girdileri!$AQ$6:$AQ$35,'Zaman'!AO9)),IF(Girdiler!$C$8="P90",INDEX(Python_girdileri!$AI$6:$AI$35,'Zaman'!AO9),INDEX(Python_girdileri!$AA$6:$AA$35,'Zaman'!AO9))),IF(Girdiler!$C$8="P90",INDEX(Python_girdileri!$S$6:$S$35,'Zaman'!AO9),INDEX(Python_girdileri!$K$6:$K$35,'Zaman'!AO9))),0)</f>
        <v/>
      </c>
      <c r="AP14" s="18">
        <f>IF('Zaman'!AP13=1,IF(Girdiler!$C$91=1,IF('Zaman'!AP15=1,IF(Girdiler!$C$8="P90",INDEX(Python_girdileri!$AY$6:$AY$35,'Zaman'!AP9),INDEX(Python_girdileri!$AQ$6:$AQ$35,'Zaman'!AP9)),IF(Girdiler!$C$8="P90",INDEX(Python_girdileri!$AI$6:$AI$35,'Zaman'!AP9),INDEX(Python_girdileri!$AA$6:$AA$35,'Zaman'!AP9))),IF(Girdiler!$C$8="P90",INDEX(Python_girdileri!$S$6:$S$35,'Zaman'!AP9),INDEX(Python_girdileri!$K$6:$K$35,'Zaman'!AP9))),0)</f>
        <v/>
      </c>
      <c r="AQ14" s="18">
        <f>IF('Zaman'!AQ13=1,IF(Girdiler!$C$91=1,IF('Zaman'!AQ15=1,IF(Girdiler!$C$8="P90",INDEX(Python_girdileri!$AY$6:$AY$35,'Zaman'!AQ9),INDEX(Python_girdileri!$AQ$6:$AQ$35,'Zaman'!AQ9)),IF(Girdiler!$C$8="P90",INDEX(Python_girdileri!$AI$6:$AI$35,'Zaman'!AQ9),INDEX(Python_girdileri!$AA$6:$AA$35,'Zaman'!AQ9))),IF(Girdiler!$C$8="P90",INDEX(Python_girdileri!$S$6:$S$35,'Zaman'!AQ9),INDEX(Python_girdileri!$K$6:$K$35,'Zaman'!AQ9))),0)</f>
        <v/>
      </c>
      <c r="AR14" s="18">
        <f>IF('Zaman'!AR13=1,IF(Girdiler!$C$91=1,IF('Zaman'!AR15=1,IF(Girdiler!$C$8="P90",INDEX(Python_girdileri!$AY$6:$AY$35,'Zaman'!AR9),INDEX(Python_girdileri!$AQ$6:$AQ$35,'Zaman'!AR9)),IF(Girdiler!$C$8="P90",INDEX(Python_girdileri!$AI$6:$AI$35,'Zaman'!AR9),INDEX(Python_girdileri!$AA$6:$AA$35,'Zaman'!AR9))),IF(Girdiler!$C$8="P90",INDEX(Python_girdileri!$S$6:$S$35,'Zaman'!AR9),INDEX(Python_girdileri!$K$6:$K$35,'Zaman'!AR9))),0)</f>
        <v/>
      </c>
    </row>
    <row r="15">
      <c r="A15" t="inlineStr">
        <is>
          <t>E_A</t>
        </is>
      </c>
      <c r="B15" t="inlineStr">
        <is>
          <t>MWh</t>
        </is>
      </c>
      <c r="C15" t="inlineStr">
        <is>
          <t>Python_girdileri (rejim: katılıma göre Y1/Y0, aksi T)</t>
        </is>
      </c>
      <c r="D15" s="18">
        <f>SUM(F15:AR15)</f>
        <v/>
      </c>
      <c r="E15" s="18" t="n">
        <v>0</v>
      </c>
      <c r="F15" s="18">
        <f>IF('Zaman'!F13=1,IF(Girdiler!$C$91=1,IF('Zaman'!F15=1,IF(Girdiler!$C$8="P90",INDEX(Python_girdileri!$AZ$6:$AZ$35,'Zaman'!F9),INDEX(Python_girdileri!$AR$6:$AR$35,'Zaman'!F9)),IF(Girdiler!$C$8="P90",INDEX(Python_girdileri!$AJ$6:$AJ$35,'Zaman'!F9),INDEX(Python_girdileri!$AB$6:$AB$35,'Zaman'!F9))),IF(Girdiler!$C$8="P90",INDEX(Python_girdileri!$T$6:$T$35,'Zaman'!F9),INDEX(Python_girdileri!$L$6:$L$35,'Zaman'!F9))),0)</f>
        <v/>
      </c>
      <c r="G15" s="18">
        <f>IF('Zaman'!G13=1,IF(Girdiler!$C$91=1,IF('Zaman'!G15=1,IF(Girdiler!$C$8="P90",INDEX(Python_girdileri!$AZ$6:$AZ$35,'Zaman'!G9),INDEX(Python_girdileri!$AR$6:$AR$35,'Zaman'!G9)),IF(Girdiler!$C$8="P90",INDEX(Python_girdileri!$AJ$6:$AJ$35,'Zaman'!G9),INDEX(Python_girdileri!$AB$6:$AB$35,'Zaman'!G9))),IF(Girdiler!$C$8="P90",INDEX(Python_girdileri!$T$6:$T$35,'Zaman'!G9),INDEX(Python_girdileri!$L$6:$L$35,'Zaman'!G9))),0)</f>
        <v/>
      </c>
      <c r="H15" s="18">
        <f>IF('Zaman'!H13=1,IF(Girdiler!$C$91=1,IF('Zaman'!H15=1,IF(Girdiler!$C$8="P90",INDEX(Python_girdileri!$AZ$6:$AZ$35,'Zaman'!H9),INDEX(Python_girdileri!$AR$6:$AR$35,'Zaman'!H9)),IF(Girdiler!$C$8="P90",INDEX(Python_girdileri!$AJ$6:$AJ$35,'Zaman'!H9),INDEX(Python_girdileri!$AB$6:$AB$35,'Zaman'!H9))),IF(Girdiler!$C$8="P90",INDEX(Python_girdileri!$T$6:$T$35,'Zaman'!H9),INDEX(Python_girdileri!$L$6:$L$35,'Zaman'!H9))),0)</f>
        <v/>
      </c>
      <c r="I15" s="18">
        <f>IF('Zaman'!I13=1,IF(Girdiler!$C$91=1,IF('Zaman'!I15=1,IF(Girdiler!$C$8="P90",INDEX(Python_girdileri!$AZ$6:$AZ$35,'Zaman'!I9),INDEX(Python_girdileri!$AR$6:$AR$35,'Zaman'!I9)),IF(Girdiler!$C$8="P90",INDEX(Python_girdileri!$AJ$6:$AJ$35,'Zaman'!I9),INDEX(Python_girdileri!$AB$6:$AB$35,'Zaman'!I9))),IF(Girdiler!$C$8="P90",INDEX(Python_girdileri!$T$6:$T$35,'Zaman'!I9),INDEX(Python_girdileri!$L$6:$L$35,'Zaman'!I9))),0)</f>
        <v/>
      </c>
      <c r="J15" s="18">
        <f>IF('Zaman'!J13=1,IF(Girdiler!$C$91=1,IF('Zaman'!J15=1,IF(Girdiler!$C$8="P90",INDEX(Python_girdileri!$AZ$6:$AZ$35,'Zaman'!J9),INDEX(Python_girdileri!$AR$6:$AR$35,'Zaman'!J9)),IF(Girdiler!$C$8="P90",INDEX(Python_girdileri!$AJ$6:$AJ$35,'Zaman'!J9),INDEX(Python_girdileri!$AB$6:$AB$35,'Zaman'!J9))),IF(Girdiler!$C$8="P90",INDEX(Python_girdileri!$T$6:$T$35,'Zaman'!J9),INDEX(Python_girdileri!$L$6:$L$35,'Zaman'!J9))),0)</f>
        <v/>
      </c>
      <c r="K15" s="18">
        <f>IF('Zaman'!K13=1,IF(Girdiler!$C$91=1,IF('Zaman'!K15=1,IF(Girdiler!$C$8="P90",INDEX(Python_girdileri!$AZ$6:$AZ$35,'Zaman'!K9),INDEX(Python_girdileri!$AR$6:$AR$35,'Zaman'!K9)),IF(Girdiler!$C$8="P90",INDEX(Python_girdileri!$AJ$6:$AJ$35,'Zaman'!K9),INDEX(Python_girdileri!$AB$6:$AB$35,'Zaman'!K9))),IF(Girdiler!$C$8="P90",INDEX(Python_girdileri!$T$6:$T$35,'Zaman'!K9),INDEX(Python_girdileri!$L$6:$L$35,'Zaman'!K9))),0)</f>
        <v/>
      </c>
      <c r="L15" s="18">
        <f>IF('Zaman'!L13=1,IF(Girdiler!$C$91=1,IF('Zaman'!L15=1,IF(Girdiler!$C$8="P90",INDEX(Python_girdileri!$AZ$6:$AZ$35,'Zaman'!L9),INDEX(Python_girdileri!$AR$6:$AR$35,'Zaman'!L9)),IF(Girdiler!$C$8="P90",INDEX(Python_girdileri!$AJ$6:$AJ$35,'Zaman'!L9),INDEX(Python_girdileri!$AB$6:$AB$35,'Zaman'!L9))),IF(Girdiler!$C$8="P90",INDEX(Python_girdileri!$T$6:$T$35,'Zaman'!L9),INDEX(Python_girdileri!$L$6:$L$35,'Zaman'!L9))),0)</f>
        <v/>
      </c>
      <c r="M15" s="18">
        <f>IF('Zaman'!M13=1,IF(Girdiler!$C$91=1,IF('Zaman'!M15=1,IF(Girdiler!$C$8="P90",INDEX(Python_girdileri!$AZ$6:$AZ$35,'Zaman'!M9),INDEX(Python_girdileri!$AR$6:$AR$35,'Zaman'!M9)),IF(Girdiler!$C$8="P90",INDEX(Python_girdileri!$AJ$6:$AJ$35,'Zaman'!M9),INDEX(Python_girdileri!$AB$6:$AB$35,'Zaman'!M9))),IF(Girdiler!$C$8="P90",INDEX(Python_girdileri!$T$6:$T$35,'Zaman'!M9),INDEX(Python_girdileri!$L$6:$L$35,'Zaman'!M9))),0)</f>
        <v/>
      </c>
      <c r="N15" s="18">
        <f>IF('Zaman'!N13=1,IF(Girdiler!$C$91=1,IF('Zaman'!N15=1,IF(Girdiler!$C$8="P90",INDEX(Python_girdileri!$AZ$6:$AZ$35,'Zaman'!N9),INDEX(Python_girdileri!$AR$6:$AR$35,'Zaman'!N9)),IF(Girdiler!$C$8="P90",INDEX(Python_girdileri!$AJ$6:$AJ$35,'Zaman'!N9),INDEX(Python_girdileri!$AB$6:$AB$35,'Zaman'!N9))),IF(Girdiler!$C$8="P90",INDEX(Python_girdileri!$T$6:$T$35,'Zaman'!N9),INDEX(Python_girdileri!$L$6:$L$35,'Zaman'!N9))),0)</f>
        <v/>
      </c>
      <c r="O15" s="18">
        <f>IF('Zaman'!O13=1,IF(Girdiler!$C$91=1,IF('Zaman'!O15=1,IF(Girdiler!$C$8="P90",INDEX(Python_girdileri!$AZ$6:$AZ$35,'Zaman'!O9),INDEX(Python_girdileri!$AR$6:$AR$35,'Zaman'!O9)),IF(Girdiler!$C$8="P90",INDEX(Python_girdileri!$AJ$6:$AJ$35,'Zaman'!O9),INDEX(Python_girdileri!$AB$6:$AB$35,'Zaman'!O9))),IF(Girdiler!$C$8="P90",INDEX(Python_girdileri!$T$6:$T$35,'Zaman'!O9),INDEX(Python_girdileri!$L$6:$L$35,'Zaman'!O9))),0)</f>
        <v/>
      </c>
      <c r="P15" s="18">
        <f>IF('Zaman'!P13=1,IF(Girdiler!$C$91=1,IF('Zaman'!P15=1,IF(Girdiler!$C$8="P90",INDEX(Python_girdileri!$AZ$6:$AZ$35,'Zaman'!P9),INDEX(Python_girdileri!$AR$6:$AR$35,'Zaman'!P9)),IF(Girdiler!$C$8="P90",INDEX(Python_girdileri!$AJ$6:$AJ$35,'Zaman'!P9),INDEX(Python_girdileri!$AB$6:$AB$35,'Zaman'!P9))),IF(Girdiler!$C$8="P90",INDEX(Python_girdileri!$T$6:$T$35,'Zaman'!P9),INDEX(Python_girdileri!$L$6:$L$35,'Zaman'!P9))),0)</f>
        <v/>
      </c>
      <c r="Q15" s="18">
        <f>IF('Zaman'!Q13=1,IF(Girdiler!$C$91=1,IF('Zaman'!Q15=1,IF(Girdiler!$C$8="P90",INDEX(Python_girdileri!$AZ$6:$AZ$35,'Zaman'!Q9),INDEX(Python_girdileri!$AR$6:$AR$35,'Zaman'!Q9)),IF(Girdiler!$C$8="P90",INDEX(Python_girdileri!$AJ$6:$AJ$35,'Zaman'!Q9),INDEX(Python_girdileri!$AB$6:$AB$35,'Zaman'!Q9))),IF(Girdiler!$C$8="P90",INDEX(Python_girdileri!$T$6:$T$35,'Zaman'!Q9),INDEX(Python_girdileri!$L$6:$L$35,'Zaman'!Q9))),0)</f>
        <v/>
      </c>
      <c r="R15" s="18">
        <f>IF('Zaman'!R13=1,IF(Girdiler!$C$91=1,IF('Zaman'!R15=1,IF(Girdiler!$C$8="P90",INDEX(Python_girdileri!$AZ$6:$AZ$35,'Zaman'!R9),INDEX(Python_girdileri!$AR$6:$AR$35,'Zaman'!R9)),IF(Girdiler!$C$8="P90",INDEX(Python_girdileri!$AJ$6:$AJ$35,'Zaman'!R9),INDEX(Python_girdileri!$AB$6:$AB$35,'Zaman'!R9))),IF(Girdiler!$C$8="P90",INDEX(Python_girdileri!$T$6:$T$35,'Zaman'!R9),INDEX(Python_girdileri!$L$6:$L$35,'Zaman'!R9))),0)</f>
        <v/>
      </c>
      <c r="S15" s="18">
        <f>IF('Zaman'!S13=1,IF(Girdiler!$C$91=1,IF('Zaman'!S15=1,IF(Girdiler!$C$8="P90",INDEX(Python_girdileri!$AZ$6:$AZ$35,'Zaman'!S9),INDEX(Python_girdileri!$AR$6:$AR$35,'Zaman'!S9)),IF(Girdiler!$C$8="P90",INDEX(Python_girdileri!$AJ$6:$AJ$35,'Zaman'!S9),INDEX(Python_girdileri!$AB$6:$AB$35,'Zaman'!S9))),IF(Girdiler!$C$8="P90",INDEX(Python_girdileri!$T$6:$T$35,'Zaman'!S9),INDEX(Python_girdileri!$L$6:$L$35,'Zaman'!S9))),0)</f>
        <v/>
      </c>
      <c r="T15" s="18">
        <f>IF('Zaman'!T13=1,IF(Girdiler!$C$91=1,IF('Zaman'!T15=1,IF(Girdiler!$C$8="P90",INDEX(Python_girdileri!$AZ$6:$AZ$35,'Zaman'!T9),INDEX(Python_girdileri!$AR$6:$AR$35,'Zaman'!T9)),IF(Girdiler!$C$8="P90",INDEX(Python_girdileri!$AJ$6:$AJ$35,'Zaman'!T9),INDEX(Python_girdileri!$AB$6:$AB$35,'Zaman'!T9))),IF(Girdiler!$C$8="P90",INDEX(Python_girdileri!$T$6:$T$35,'Zaman'!T9),INDEX(Python_girdileri!$L$6:$L$35,'Zaman'!T9))),0)</f>
        <v/>
      </c>
      <c r="U15" s="18">
        <f>IF('Zaman'!U13=1,IF(Girdiler!$C$91=1,IF('Zaman'!U15=1,IF(Girdiler!$C$8="P90",INDEX(Python_girdileri!$AZ$6:$AZ$35,'Zaman'!U9),INDEX(Python_girdileri!$AR$6:$AR$35,'Zaman'!U9)),IF(Girdiler!$C$8="P90",INDEX(Python_girdileri!$AJ$6:$AJ$35,'Zaman'!U9),INDEX(Python_girdileri!$AB$6:$AB$35,'Zaman'!U9))),IF(Girdiler!$C$8="P90",INDEX(Python_girdileri!$T$6:$T$35,'Zaman'!U9),INDEX(Python_girdileri!$L$6:$L$35,'Zaman'!U9))),0)</f>
        <v/>
      </c>
      <c r="V15" s="18">
        <f>IF('Zaman'!V13=1,IF(Girdiler!$C$91=1,IF('Zaman'!V15=1,IF(Girdiler!$C$8="P90",INDEX(Python_girdileri!$AZ$6:$AZ$35,'Zaman'!V9),INDEX(Python_girdileri!$AR$6:$AR$35,'Zaman'!V9)),IF(Girdiler!$C$8="P90",INDEX(Python_girdileri!$AJ$6:$AJ$35,'Zaman'!V9),INDEX(Python_girdileri!$AB$6:$AB$35,'Zaman'!V9))),IF(Girdiler!$C$8="P90",INDEX(Python_girdileri!$T$6:$T$35,'Zaman'!V9),INDEX(Python_girdileri!$L$6:$L$35,'Zaman'!V9))),0)</f>
        <v/>
      </c>
      <c r="W15" s="18">
        <f>IF('Zaman'!W13=1,IF(Girdiler!$C$91=1,IF('Zaman'!W15=1,IF(Girdiler!$C$8="P90",INDEX(Python_girdileri!$AZ$6:$AZ$35,'Zaman'!W9),INDEX(Python_girdileri!$AR$6:$AR$35,'Zaman'!W9)),IF(Girdiler!$C$8="P90",INDEX(Python_girdileri!$AJ$6:$AJ$35,'Zaman'!W9),INDEX(Python_girdileri!$AB$6:$AB$35,'Zaman'!W9))),IF(Girdiler!$C$8="P90",INDEX(Python_girdileri!$T$6:$T$35,'Zaman'!W9),INDEX(Python_girdileri!$L$6:$L$35,'Zaman'!W9))),0)</f>
        <v/>
      </c>
      <c r="X15" s="18">
        <f>IF('Zaman'!X13=1,IF(Girdiler!$C$91=1,IF('Zaman'!X15=1,IF(Girdiler!$C$8="P90",INDEX(Python_girdileri!$AZ$6:$AZ$35,'Zaman'!X9),INDEX(Python_girdileri!$AR$6:$AR$35,'Zaman'!X9)),IF(Girdiler!$C$8="P90",INDEX(Python_girdileri!$AJ$6:$AJ$35,'Zaman'!X9),INDEX(Python_girdileri!$AB$6:$AB$35,'Zaman'!X9))),IF(Girdiler!$C$8="P90",INDEX(Python_girdileri!$T$6:$T$35,'Zaman'!X9),INDEX(Python_girdileri!$L$6:$L$35,'Zaman'!X9))),0)</f>
        <v/>
      </c>
      <c r="Y15" s="18">
        <f>IF('Zaman'!Y13=1,IF(Girdiler!$C$91=1,IF('Zaman'!Y15=1,IF(Girdiler!$C$8="P90",INDEX(Python_girdileri!$AZ$6:$AZ$35,'Zaman'!Y9),INDEX(Python_girdileri!$AR$6:$AR$35,'Zaman'!Y9)),IF(Girdiler!$C$8="P90",INDEX(Python_girdileri!$AJ$6:$AJ$35,'Zaman'!Y9),INDEX(Python_girdileri!$AB$6:$AB$35,'Zaman'!Y9))),IF(Girdiler!$C$8="P90",INDEX(Python_girdileri!$T$6:$T$35,'Zaman'!Y9),INDEX(Python_girdileri!$L$6:$L$35,'Zaman'!Y9))),0)</f>
        <v/>
      </c>
      <c r="Z15" s="18">
        <f>IF('Zaman'!Z13=1,IF(Girdiler!$C$91=1,IF('Zaman'!Z15=1,IF(Girdiler!$C$8="P90",INDEX(Python_girdileri!$AZ$6:$AZ$35,'Zaman'!Z9),INDEX(Python_girdileri!$AR$6:$AR$35,'Zaman'!Z9)),IF(Girdiler!$C$8="P90",INDEX(Python_girdileri!$AJ$6:$AJ$35,'Zaman'!Z9),INDEX(Python_girdileri!$AB$6:$AB$35,'Zaman'!Z9))),IF(Girdiler!$C$8="P90",INDEX(Python_girdileri!$T$6:$T$35,'Zaman'!Z9),INDEX(Python_girdileri!$L$6:$L$35,'Zaman'!Z9))),0)</f>
        <v/>
      </c>
      <c r="AA15" s="18">
        <f>IF('Zaman'!AA13=1,IF(Girdiler!$C$91=1,IF('Zaman'!AA15=1,IF(Girdiler!$C$8="P90",INDEX(Python_girdileri!$AZ$6:$AZ$35,'Zaman'!AA9),INDEX(Python_girdileri!$AR$6:$AR$35,'Zaman'!AA9)),IF(Girdiler!$C$8="P90",INDEX(Python_girdileri!$AJ$6:$AJ$35,'Zaman'!AA9),INDEX(Python_girdileri!$AB$6:$AB$35,'Zaman'!AA9))),IF(Girdiler!$C$8="P90",INDEX(Python_girdileri!$T$6:$T$35,'Zaman'!AA9),INDEX(Python_girdileri!$L$6:$L$35,'Zaman'!AA9))),0)</f>
        <v/>
      </c>
      <c r="AB15" s="18">
        <f>IF('Zaman'!AB13=1,IF(Girdiler!$C$91=1,IF('Zaman'!AB15=1,IF(Girdiler!$C$8="P90",INDEX(Python_girdileri!$AZ$6:$AZ$35,'Zaman'!AB9),INDEX(Python_girdileri!$AR$6:$AR$35,'Zaman'!AB9)),IF(Girdiler!$C$8="P90",INDEX(Python_girdileri!$AJ$6:$AJ$35,'Zaman'!AB9),INDEX(Python_girdileri!$AB$6:$AB$35,'Zaman'!AB9))),IF(Girdiler!$C$8="P90",INDEX(Python_girdileri!$T$6:$T$35,'Zaman'!AB9),INDEX(Python_girdileri!$L$6:$L$35,'Zaman'!AB9))),0)</f>
        <v/>
      </c>
      <c r="AC15" s="18">
        <f>IF('Zaman'!AC13=1,IF(Girdiler!$C$91=1,IF('Zaman'!AC15=1,IF(Girdiler!$C$8="P90",INDEX(Python_girdileri!$AZ$6:$AZ$35,'Zaman'!AC9),INDEX(Python_girdileri!$AR$6:$AR$35,'Zaman'!AC9)),IF(Girdiler!$C$8="P90",INDEX(Python_girdileri!$AJ$6:$AJ$35,'Zaman'!AC9),INDEX(Python_girdileri!$AB$6:$AB$35,'Zaman'!AC9))),IF(Girdiler!$C$8="P90",INDEX(Python_girdileri!$T$6:$T$35,'Zaman'!AC9),INDEX(Python_girdileri!$L$6:$L$35,'Zaman'!AC9))),0)</f>
        <v/>
      </c>
      <c r="AD15" s="18">
        <f>IF('Zaman'!AD13=1,IF(Girdiler!$C$91=1,IF('Zaman'!AD15=1,IF(Girdiler!$C$8="P90",INDEX(Python_girdileri!$AZ$6:$AZ$35,'Zaman'!AD9),INDEX(Python_girdileri!$AR$6:$AR$35,'Zaman'!AD9)),IF(Girdiler!$C$8="P90",INDEX(Python_girdileri!$AJ$6:$AJ$35,'Zaman'!AD9),INDEX(Python_girdileri!$AB$6:$AB$35,'Zaman'!AD9))),IF(Girdiler!$C$8="P90",INDEX(Python_girdileri!$T$6:$T$35,'Zaman'!AD9),INDEX(Python_girdileri!$L$6:$L$35,'Zaman'!AD9))),0)</f>
        <v/>
      </c>
      <c r="AE15" s="18">
        <f>IF('Zaman'!AE13=1,IF(Girdiler!$C$91=1,IF('Zaman'!AE15=1,IF(Girdiler!$C$8="P90",INDEX(Python_girdileri!$AZ$6:$AZ$35,'Zaman'!AE9),INDEX(Python_girdileri!$AR$6:$AR$35,'Zaman'!AE9)),IF(Girdiler!$C$8="P90",INDEX(Python_girdileri!$AJ$6:$AJ$35,'Zaman'!AE9),INDEX(Python_girdileri!$AB$6:$AB$35,'Zaman'!AE9))),IF(Girdiler!$C$8="P90",INDEX(Python_girdileri!$T$6:$T$35,'Zaman'!AE9),INDEX(Python_girdileri!$L$6:$L$35,'Zaman'!AE9))),0)</f>
        <v/>
      </c>
      <c r="AF15" s="18">
        <f>IF('Zaman'!AF13=1,IF(Girdiler!$C$91=1,IF('Zaman'!AF15=1,IF(Girdiler!$C$8="P90",INDEX(Python_girdileri!$AZ$6:$AZ$35,'Zaman'!AF9),INDEX(Python_girdileri!$AR$6:$AR$35,'Zaman'!AF9)),IF(Girdiler!$C$8="P90",INDEX(Python_girdileri!$AJ$6:$AJ$35,'Zaman'!AF9),INDEX(Python_girdileri!$AB$6:$AB$35,'Zaman'!AF9))),IF(Girdiler!$C$8="P90",INDEX(Python_girdileri!$T$6:$T$35,'Zaman'!AF9),INDEX(Python_girdileri!$L$6:$L$35,'Zaman'!AF9))),0)</f>
        <v/>
      </c>
      <c r="AG15" s="18">
        <f>IF('Zaman'!AG13=1,IF(Girdiler!$C$91=1,IF('Zaman'!AG15=1,IF(Girdiler!$C$8="P90",INDEX(Python_girdileri!$AZ$6:$AZ$35,'Zaman'!AG9),INDEX(Python_girdileri!$AR$6:$AR$35,'Zaman'!AG9)),IF(Girdiler!$C$8="P90",INDEX(Python_girdileri!$AJ$6:$AJ$35,'Zaman'!AG9),INDEX(Python_girdileri!$AB$6:$AB$35,'Zaman'!AG9))),IF(Girdiler!$C$8="P90",INDEX(Python_girdileri!$T$6:$T$35,'Zaman'!AG9),INDEX(Python_girdileri!$L$6:$L$35,'Zaman'!AG9))),0)</f>
        <v/>
      </c>
      <c r="AH15" s="18">
        <f>IF('Zaman'!AH13=1,IF(Girdiler!$C$91=1,IF('Zaman'!AH15=1,IF(Girdiler!$C$8="P90",INDEX(Python_girdileri!$AZ$6:$AZ$35,'Zaman'!AH9),INDEX(Python_girdileri!$AR$6:$AR$35,'Zaman'!AH9)),IF(Girdiler!$C$8="P90",INDEX(Python_girdileri!$AJ$6:$AJ$35,'Zaman'!AH9),INDEX(Python_girdileri!$AB$6:$AB$35,'Zaman'!AH9))),IF(Girdiler!$C$8="P90",INDEX(Python_girdileri!$T$6:$T$35,'Zaman'!AH9),INDEX(Python_girdileri!$L$6:$L$35,'Zaman'!AH9))),0)</f>
        <v/>
      </c>
      <c r="AI15" s="18">
        <f>IF('Zaman'!AI13=1,IF(Girdiler!$C$91=1,IF('Zaman'!AI15=1,IF(Girdiler!$C$8="P90",INDEX(Python_girdileri!$AZ$6:$AZ$35,'Zaman'!AI9),INDEX(Python_girdileri!$AR$6:$AR$35,'Zaman'!AI9)),IF(Girdiler!$C$8="P90",INDEX(Python_girdileri!$AJ$6:$AJ$35,'Zaman'!AI9),INDEX(Python_girdileri!$AB$6:$AB$35,'Zaman'!AI9))),IF(Girdiler!$C$8="P90",INDEX(Python_girdileri!$T$6:$T$35,'Zaman'!AI9),INDEX(Python_girdileri!$L$6:$L$35,'Zaman'!AI9))),0)</f>
        <v/>
      </c>
      <c r="AJ15" s="18">
        <f>IF('Zaman'!AJ13=1,IF(Girdiler!$C$91=1,IF('Zaman'!AJ15=1,IF(Girdiler!$C$8="P90",INDEX(Python_girdileri!$AZ$6:$AZ$35,'Zaman'!AJ9),INDEX(Python_girdileri!$AR$6:$AR$35,'Zaman'!AJ9)),IF(Girdiler!$C$8="P90",INDEX(Python_girdileri!$AJ$6:$AJ$35,'Zaman'!AJ9),INDEX(Python_girdileri!$AB$6:$AB$35,'Zaman'!AJ9))),IF(Girdiler!$C$8="P90",INDEX(Python_girdileri!$T$6:$T$35,'Zaman'!AJ9),INDEX(Python_girdileri!$L$6:$L$35,'Zaman'!AJ9))),0)</f>
        <v/>
      </c>
      <c r="AK15" s="18">
        <f>IF('Zaman'!AK13=1,IF(Girdiler!$C$91=1,IF('Zaman'!AK15=1,IF(Girdiler!$C$8="P90",INDEX(Python_girdileri!$AZ$6:$AZ$35,'Zaman'!AK9),INDEX(Python_girdileri!$AR$6:$AR$35,'Zaman'!AK9)),IF(Girdiler!$C$8="P90",INDEX(Python_girdileri!$AJ$6:$AJ$35,'Zaman'!AK9),INDEX(Python_girdileri!$AB$6:$AB$35,'Zaman'!AK9))),IF(Girdiler!$C$8="P90",INDEX(Python_girdileri!$T$6:$T$35,'Zaman'!AK9),INDEX(Python_girdileri!$L$6:$L$35,'Zaman'!AK9))),0)</f>
        <v/>
      </c>
      <c r="AL15" s="18">
        <f>IF('Zaman'!AL13=1,IF(Girdiler!$C$91=1,IF('Zaman'!AL15=1,IF(Girdiler!$C$8="P90",INDEX(Python_girdileri!$AZ$6:$AZ$35,'Zaman'!AL9),INDEX(Python_girdileri!$AR$6:$AR$35,'Zaman'!AL9)),IF(Girdiler!$C$8="P90",INDEX(Python_girdileri!$AJ$6:$AJ$35,'Zaman'!AL9),INDEX(Python_girdileri!$AB$6:$AB$35,'Zaman'!AL9))),IF(Girdiler!$C$8="P90",INDEX(Python_girdileri!$T$6:$T$35,'Zaman'!AL9),INDEX(Python_girdileri!$L$6:$L$35,'Zaman'!AL9))),0)</f>
        <v/>
      </c>
      <c r="AM15" s="18">
        <f>IF('Zaman'!AM13=1,IF(Girdiler!$C$91=1,IF('Zaman'!AM15=1,IF(Girdiler!$C$8="P90",INDEX(Python_girdileri!$AZ$6:$AZ$35,'Zaman'!AM9),INDEX(Python_girdileri!$AR$6:$AR$35,'Zaman'!AM9)),IF(Girdiler!$C$8="P90",INDEX(Python_girdileri!$AJ$6:$AJ$35,'Zaman'!AM9),INDEX(Python_girdileri!$AB$6:$AB$35,'Zaman'!AM9))),IF(Girdiler!$C$8="P90",INDEX(Python_girdileri!$T$6:$T$35,'Zaman'!AM9),INDEX(Python_girdileri!$L$6:$L$35,'Zaman'!AM9))),0)</f>
        <v/>
      </c>
      <c r="AN15" s="18">
        <f>IF('Zaman'!AN13=1,IF(Girdiler!$C$91=1,IF('Zaman'!AN15=1,IF(Girdiler!$C$8="P90",INDEX(Python_girdileri!$AZ$6:$AZ$35,'Zaman'!AN9),INDEX(Python_girdileri!$AR$6:$AR$35,'Zaman'!AN9)),IF(Girdiler!$C$8="P90",INDEX(Python_girdileri!$AJ$6:$AJ$35,'Zaman'!AN9),INDEX(Python_girdileri!$AB$6:$AB$35,'Zaman'!AN9))),IF(Girdiler!$C$8="P90",INDEX(Python_girdileri!$T$6:$T$35,'Zaman'!AN9),INDEX(Python_girdileri!$L$6:$L$35,'Zaman'!AN9))),0)</f>
        <v/>
      </c>
      <c r="AO15" s="18">
        <f>IF('Zaman'!AO13=1,IF(Girdiler!$C$91=1,IF('Zaman'!AO15=1,IF(Girdiler!$C$8="P90",INDEX(Python_girdileri!$AZ$6:$AZ$35,'Zaman'!AO9),INDEX(Python_girdileri!$AR$6:$AR$35,'Zaman'!AO9)),IF(Girdiler!$C$8="P90",INDEX(Python_girdileri!$AJ$6:$AJ$35,'Zaman'!AO9),INDEX(Python_girdileri!$AB$6:$AB$35,'Zaman'!AO9))),IF(Girdiler!$C$8="P90",INDEX(Python_girdileri!$T$6:$T$35,'Zaman'!AO9),INDEX(Python_girdileri!$L$6:$L$35,'Zaman'!AO9))),0)</f>
        <v/>
      </c>
      <c r="AP15" s="18">
        <f>IF('Zaman'!AP13=1,IF(Girdiler!$C$91=1,IF('Zaman'!AP15=1,IF(Girdiler!$C$8="P90",INDEX(Python_girdileri!$AZ$6:$AZ$35,'Zaman'!AP9),INDEX(Python_girdileri!$AR$6:$AR$35,'Zaman'!AP9)),IF(Girdiler!$C$8="P90",INDEX(Python_girdileri!$AJ$6:$AJ$35,'Zaman'!AP9),INDEX(Python_girdileri!$AB$6:$AB$35,'Zaman'!AP9))),IF(Girdiler!$C$8="P90",INDEX(Python_girdileri!$T$6:$T$35,'Zaman'!AP9),INDEX(Python_girdileri!$L$6:$L$35,'Zaman'!AP9))),0)</f>
        <v/>
      </c>
      <c r="AQ15" s="18">
        <f>IF('Zaman'!AQ13=1,IF(Girdiler!$C$91=1,IF('Zaman'!AQ15=1,IF(Girdiler!$C$8="P90",INDEX(Python_girdileri!$AZ$6:$AZ$35,'Zaman'!AQ9),INDEX(Python_girdileri!$AR$6:$AR$35,'Zaman'!AQ9)),IF(Girdiler!$C$8="P90",INDEX(Python_girdileri!$AJ$6:$AJ$35,'Zaman'!AQ9),INDEX(Python_girdileri!$AB$6:$AB$35,'Zaman'!AQ9))),IF(Girdiler!$C$8="P90",INDEX(Python_girdileri!$T$6:$T$35,'Zaman'!AQ9),INDEX(Python_girdileri!$L$6:$L$35,'Zaman'!AQ9))),0)</f>
        <v/>
      </c>
      <c r="AR15" s="18">
        <f>IF('Zaman'!AR13=1,IF(Girdiler!$C$91=1,IF('Zaman'!AR15=1,IF(Girdiler!$C$8="P90",INDEX(Python_girdileri!$AZ$6:$AZ$35,'Zaman'!AR9),INDEX(Python_girdileri!$AR$6:$AR$35,'Zaman'!AR9)),IF(Girdiler!$C$8="P90",INDEX(Python_girdileri!$AJ$6:$AJ$35,'Zaman'!AR9),INDEX(Python_girdileri!$AB$6:$AB$35,'Zaman'!AR9))),IF(Girdiler!$C$8="P90",INDEX(Python_girdileri!$T$6:$T$35,'Zaman'!AR9),INDEX(Python_girdileri!$L$6:$L$35,'Zaman'!AR9))),0)</f>
        <v/>
      </c>
    </row>
    <row r="16">
      <c r="A16" t="inlineStr">
        <is>
          <t>Sistem kesintisi oranı κ</t>
        </is>
      </c>
      <c r="B16" t="inlineStr">
        <is>
          <t>oran</t>
        </is>
      </c>
      <c r="C16" t="inlineStr"/>
      <c r="E16" s="25" t="n">
        <v>0</v>
      </c>
      <c r="F16" s="25">
        <f>IF('Zaman'!F13=1,INDEX(Python_girdileri!$D$6:$D$35,'Zaman'!F9),0)</f>
        <v/>
      </c>
      <c r="G16" s="25">
        <f>IF('Zaman'!G13=1,INDEX(Python_girdileri!$D$6:$D$35,'Zaman'!G9),0)</f>
        <v/>
      </c>
      <c r="H16" s="25">
        <f>IF('Zaman'!H13=1,INDEX(Python_girdileri!$D$6:$D$35,'Zaman'!H9),0)</f>
        <v/>
      </c>
      <c r="I16" s="25">
        <f>IF('Zaman'!I13=1,INDEX(Python_girdileri!$D$6:$D$35,'Zaman'!I9),0)</f>
        <v/>
      </c>
      <c r="J16" s="25">
        <f>IF('Zaman'!J13=1,INDEX(Python_girdileri!$D$6:$D$35,'Zaman'!J9),0)</f>
        <v/>
      </c>
      <c r="K16" s="25">
        <f>IF('Zaman'!K13=1,INDEX(Python_girdileri!$D$6:$D$35,'Zaman'!K9),0)</f>
        <v/>
      </c>
      <c r="L16" s="25">
        <f>IF('Zaman'!L13=1,INDEX(Python_girdileri!$D$6:$D$35,'Zaman'!L9),0)</f>
        <v/>
      </c>
      <c r="M16" s="25">
        <f>IF('Zaman'!M13=1,INDEX(Python_girdileri!$D$6:$D$35,'Zaman'!M9),0)</f>
        <v/>
      </c>
      <c r="N16" s="25">
        <f>IF('Zaman'!N13=1,INDEX(Python_girdileri!$D$6:$D$35,'Zaman'!N9),0)</f>
        <v/>
      </c>
      <c r="O16" s="25">
        <f>IF('Zaman'!O13=1,INDEX(Python_girdileri!$D$6:$D$35,'Zaman'!O9),0)</f>
        <v/>
      </c>
      <c r="P16" s="25">
        <f>IF('Zaman'!P13=1,INDEX(Python_girdileri!$D$6:$D$35,'Zaman'!P9),0)</f>
        <v/>
      </c>
      <c r="Q16" s="25">
        <f>IF('Zaman'!Q13=1,INDEX(Python_girdileri!$D$6:$D$35,'Zaman'!Q9),0)</f>
        <v/>
      </c>
      <c r="R16" s="25">
        <f>IF('Zaman'!R13=1,INDEX(Python_girdileri!$D$6:$D$35,'Zaman'!R9),0)</f>
        <v/>
      </c>
      <c r="S16" s="25">
        <f>IF('Zaman'!S13=1,INDEX(Python_girdileri!$D$6:$D$35,'Zaman'!S9),0)</f>
        <v/>
      </c>
      <c r="T16" s="25">
        <f>IF('Zaman'!T13=1,INDEX(Python_girdileri!$D$6:$D$35,'Zaman'!T9),0)</f>
        <v/>
      </c>
      <c r="U16" s="25">
        <f>IF('Zaman'!U13=1,INDEX(Python_girdileri!$D$6:$D$35,'Zaman'!U9),0)</f>
        <v/>
      </c>
      <c r="V16" s="25">
        <f>IF('Zaman'!V13=1,INDEX(Python_girdileri!$D$6:$D$35,'Zaman'!V9),0)</f>
        <v/>
      </c>
      <c r="W16" s="25">
        <f>IF('Zaman'!W13=1,INDEX(Python_girdileri!$D$6:$D$35,'Zaman'!W9),0)</f>
        <v/>
      </c>
      <c r="X16" s="25">
        <f>IF('Zaman'!X13=1,INDEX(Python_girdileri!$D$6:$D$35,'Zaman'!X9),0)</f>
        <v/>
      </c>
      <c r="Y16" s="25">
        <f>IF('Zaman'!Y13=1,INDEX(Python_girdileri!$D$6:$D$35,'Zaman'!Y9),0)</f>
        <v/>
      </c>
      <c r="Z16" s="25">
        <f>IF('Zaman'!Z13=1,INDEX(Python_girdileri!$D$6:$D$35,'Zaman'!Z9),0)</f>
        <v/>
      </c>
      <c r="AA16" s="25">
        <f>IF('Zaman'!AA13=1,INDEX(Python_girdileri!$D$6:$D$35,'Zaman'!AA9),0)</f>
        <v/>
      </c>
      <c r="AB16" s="25">
        <f>IF('Zaman'!AB13=1,INDEX(Python_girdileri!$D$6:$D$35,'Zaman'!AB9),0)</f>
        <v/>
      </c>
      <c r="AC16" s="25">
        <f>IF('Zaman'!AC13=1,INDEX(Python_girdileri!$D$6:$D$35,'Zaman'!AC9),0)</f>
        <v/>
      </c>
      <c r="AD16" s="25">
        <f>IF('Zaman'!AD13=1,INDEX(Python_girdileri!$D$6:$D$35,'Zaman'!AD9),0)</f>
        <v/>
      </c>
      <c r="AE16" s="25">
        <f>IF('Zaman'!AE13=1,INDEX(Python_girdileri!$D$6:$D$35,'Zaman'!AE9),0)</f>
        <v/>
      </c>
      <c r="AF16" s="25">
        <f>IF('Zaman'!AF13=1,INDEX(Python_girdileri!$D$6:$D$35,'Zaman'!AF9),0)</f>
        <v/>
      </c>
      <c r="AG16" s="25">
        <f>IF('Zaman'!AG13=1,INDEX(Python_girdileri!$D$6:$D$35,'Zaman'!AG9),0)</f>
        <v/>
      </c>
      <c r="AH16" s="25">
        <f>IF('Zaman'!AH13=1,INDEX(Python_girdileri!$D$6:$D$35,'Zaman'!AH9),0)</f>
        <v/>
      </c>
      <c r="AI16" s="25">
        <f>IF('Zaman'!AI13=1,INDEX(Python_girdileri!$D$6:$D$35,'Zaman'!AI9),0)</f>
        <v/>
      </c>
      <c r="AJ16" s="25">
        <f>IF('Zaman'!AJ13=1,INDEX(Python_girdileri!$D$6:$D$35,'Zaman'!AJ9),0)</f>
        <v/>
      </c>
      <c r="AK16" s="25">
        <f>IF('Zaman'!AK13=1,INDEX(Python_girdileri!$D$6:$D$35,'Zaman'!AK9),0)</f>
        <v/>
      </c>
      <c r="AL16" s="25">
        <f>IF('Zaman'!AL13=1,INDEX(Python_girdileri!$D$6:$D$35,'Zaman'!AL9),0)</f>
        <v/>
      </c>
      <c r="AM16" s="25">
        <f>IF('Zaman'!AM13=1,INDEX(Python_girdileri!$D$6:$D$35,'Zaman'!AM9),0)</f>
        <v/>
      </c>
      <c r="AN16" s="25">
        <f>IF('Zaman'!AN13=1,INDEX(Python_girdileri!$D$6:$D$35,'Zaman'!AN9),0)</f>
        <v/>
      </c>
      <c r="AO16" s="25">
        <f>IF('Zaman'!AO13=1,INDEX(Python_girdileri!$D$6:$D$35,'Zaman'!AO9),0)</f>
        <v/>
      </c>
      <c r="AP16" s="25">
        <f>IF('Zaman'!AP13=1,INDEX(Python_girdileri!$D$6:$D$35,'Zaman'!AP9),0)</f>
        <v/>
      </c>
      <c r="AQ16" s="25">
        <f>IF('Zaman'!AQ13=1,INDEX(Python_girdileri!$D$6:$D$35,'Zaman'!AQ9),0)</f>
        <v/>
      </c>
      <c r="AR16" s="25">
        <f>IF('Zaman'!AR13=1,INDEX(Python_girdileri!$D$6:$D$35,'Zaman'!AR9),0)</f>
        <v/>
      </c>
    </row>
    <row r="17">
      <c r="A17" t="inlineStr">
        <is>
          <t>Kesinti gelir kaybı payı</t>
        </is>
      </c>
      <c r="B17" t="inlineStr">
        <is>
          <t>oran</t>
        </is>
      </c>
      <c r="C17" t="inlineStr">
        <is>
          <t>YEKDEM yılı: YEK farkı ödenmez; tüccar: DGP tazmini</t>
        </is>
      </c>
      <c r="E17" s="21" t="n">
        <v>0</v>
      </c>
      <c r="F17" s="21">
        <f>IF('Zaman'!F15=1,'Uretim'!F16*(1-Girdiler!$C$58*Girdiler!$C$59)*(1-Girdiler!$C$61),'Uretim'!F16*Girdiler!$C$59*(1-Girdiler!$C$58)*(1-Girdiler!$C$60))</f>
        <v/>
      </c>
      <c r="G17" s="21">
        <f>IF('Zaman'!G15=1,'Uretim'!G16*(1-Girdiler!$C$58*Girdiler!$C$59)*(1-Girdiler!$C$61),'Uretim'!G16*Girdiler!$C$59*(1-Girdiler!$C$58)*(1-Girdiler!$C$60))</f>
        <v/>
      </c>
      <c r="H17" s="21">
        <f>IF('Zaman'!H15=1,'Uretim'!H16*(1-Girdiler!$C$58*Girdiler!$C$59)*(1-Girdiler!$C$61),'Uretim'!H16*Girdiler!$C$59*(1-Girdiler!$C$58)*(1-Girdiler!$C$60))</f>
        <v/>
      </c>
      <c r="I17" s="21">
        <f>IF('Zaman'!I15=1,'Uretim'!I16*(1-Girdiler!$C$58*Girdiler!$C$59)*(1-Girdiler!$C$61),'Uretim'!I16*Girdiler!$C$59*(1-Girdiler!$C$58)*(1-Girdiler!$C$60))</f>
        <v/>
      </c>
      <c r="J17" s="21">
        <f>IF('Zaman'!J15=1,'Uretim'!J16*(1-Girdiler!$C$58*Girdiler!$C$59)*(1-Girdiler!$C$61),'Uretim'!J16*Girdiler!$C$59*(1-Girdiler!$C$58)*(1-Girdiler!$C$60))</f>
        <v/>
      </c>
      <c r="K17" s="21">
        <f>IF('Zaman'!K15=1,'Uretim'!K16*(1-Girdiler!$C$58*Girdiler!$C$59)*(1-Girdiler!$C$61),'Uretim'!K16*Girdiler!$C$59*(1-Girdiler!$C$58)*(1-Girdiler!$C$60))</f>
        <v/>
      </c>
      <c r="L17" s="21">
        <f>IF('Zaman'!L15=1,'Uretim'!L16*(1-Girdiler!$C$58*Girdiler!$C$59)*(1-Girdiler!$C$61),'Uretim'!L16*Girdiler!$C$59*(1-Girdiler!$C$58)*(1-Girdiler!$C$60))</f>
        <v/>
      </c>
      <c r="M17" s="21">
        <f>IF('Zaman'!M15=1,'Uretim'!M16*(1-Girdiler!$C$58*Girdiler!$C$59)*(1-Girdiler!$C$61),'Uretim'!M16*Girdiler!$C$59*(1-Girdiler!$C$58)*(1-Girdiler!$C$60))</f>
        <v/>
      </c>
      <c r="N17" s="21">
        <f>IF('Zaman'!N15=1,'Uretim'!N16*(1-Girdiler!$C$58*Girdiler!$C$59)*(1-Girdiler!$C$61),'Uretim'!N16*Girdiler!$C$59*(1-Girdiler!$C$58)*(1-Girdiler!$C$60))</f>
        <v/>
      </c>
      <c r="O17" s="21">
        <f>IF('Zaman'!O15=1,'Uretim'!O16*(1-Girdiler!$C$58*Girdiler!$C$59)*(1-Girdiler!$C$61),'Uretim'!O16*Girdiler!$C$59*(1-Girdiler!$C$58)*(1-Girdiler!$C$60))</f>
        <v/>
      </c>
      <c r="P17" s="21">
        <f>IF('Zaman'!P15=1,'Uretim'!P16*(1-Girdiler!$C$58*Girdiler!$C$59)*(1-Girdiler!$C$61),'Uretim'!P16*Girdiler!$C$59*(1-Girdiler!$C$58)*(1-Girdiler!$C$60))</f>
        <v/>
      </c>
      <c r="Q17" s="21">
        <f>IF('Zaman'!Q15=1,'Uretim'!Q16*(1-Girdiler!$C$58*Girdiler!$C$59)*(1-Girdiler!$C$61),'Uretim'!Q16*Girdiler!$C$59*(1-Girdiler!$C$58)*(1-Girdiler!$C$60))</f>
        <v/>
      </c>
      <c r="R17" s="21">
        <f>IF('Zaman'!R15=1,'Uretim'!R16*(1-Girdiler!$C$58*Girdiler!$C$59)*(1-Girdiler!$C$61),'Uretim'!R16*Girdiler!$C$59*(1-Girdiler!$C$58)*(1-Girdiler!$C$60))</f>
        <v/>
      </c>
      <c r="S17" s="21">
        <f>IF('Zaman'!S15=1,'Uretim'!S16*(1-Girdiler!$C$58*Girdiler!$C$59)*(1-Girdiler!$C$61),'Uretim'!S16*Girdiler!$C$59*(1-Girdiler!$C$58)*(1-Girdiler!$C$60))</f>
        <v/>
      </c>
      <c r="T17" s="21">
        <f>IF('Zaman'!T15=1,'Uretim'!T16*(1-Girdiler!$C$58*Girdiler!$C$59)*(1-Girdiler!$C$61),'Uretim'!T16*Girdiler!$C$59*(1-Girdiler!$C$58)*(1-Girdiler!$C$60))</f>
        <v/>
      </c>
      <c r="U17" s="21">
        <f>IF('Zaman'!U15=1,'Uretim'!U16*(1-Girdiler!$C$58*Girdiler!$C$59)*(1-Girdiler!$C$61),'Uretim'!U16*Girdiler!$C$59*(1-Girdiler!$C$58)*(1-Girdiler!$C$60))</f>
        <v/>
      </c>
      <c r="V17" s="21">
        <f>IF('Zaman'!V15=1,'Uretim'!V16*(1-Girdiler!$C$58*Girdiler!$C$59)*(1-Girdiler!$C$61),'Uretim'!V16*Girdiler!$C$59*(1-Girdiler!$C$58)*(1-Girdiler!$C$60))</f>
        <v/>
      </c>
      <c r="W17" s="21">
        <f>IF('Zaman'!W15=1,'Uretim'!W16*(1-Girdiler!$C$58*Girdiler!$C$59)*(1-Girdiler!$C$61),'Uretim'!W16*Girdiler!$C$59*(1-Girdiler!$C$58)*(1-Girdiler!$C$60))</f>
        <v/>
      </c>
      <c r="X17" s="21">
        <f>IF('Zaman'!X15=1,'Uretim'!X16*(1-Girdiler!$C$58*Girdiler!$C$59)*(1-Girdiler!$C$61),'Uretim'!X16*Girdiler!$C$59*(1-Girdiler!$C$58)*(1-Girdiler!$C$60))</f>
        <v/>
      </c>
      <c r="Y17" s="21">
        <f>IF('Zaman'!Y15=1,'Uretim'!Y16*(1-Girdiler!$C$58*Girdiler!$C$59)*(1-Girdiler!$C$61),'Uretim'!Y16*Girdiler!$C$59*(1-Girdiler!$C$58)*(1-Girdiler!$C$60))</f>
        <v/>
      </c>
      <c r="Z17" s="21">
        <f>IF('Zaman'!Z15=1,'Uretim'!Z16*(1-Girdiler!$C$58*Girdiler!$C$59)*(1-Girdiler!$C$61),'Uretim'!Z16*Girdiler!$C$59*(1-Girdiler!$C$58)*(1-Girdiler!$C$60))</f>
        <v/>
      </c>
      <c r="AA17" s="21">
        <f>IF('Zaman'!AA15=1,'Uretim'!AA16*(1-Girdiler!$C$58*Girdiler!$C$59)*(1-Girdiler!$C$61),'Uretim'!AA16*Girdiler!$C$59*(1-Girdiler!$C$58)*(1-Girdiler!$C$60))</f>
        <v/>
      </c>
      <c r="AB17" s="21">
        <f>IF('Zaman'!AB15=1,'Uretim'!AB16*(1-Girdiler!$C$58*Girdiler!$C$59)*(1-Girdiler!$C$61),'Uretim'!AB16*Girdiler!$C$59*(1-Girdiler!$C$58)*(1-Girdiler!$C$60))</f>
        <v/>
      </c>
      <c r="AC17" s="21">
        <f>IF('Zaman'!AC15=1,'Uretim'!AC16*(1-Girdiler!$C$58*Girdiler!$C$59)*(1-Girdiler!$C$61),'Uretim'!AC16*Girdiler!$C$59*(1-Girdiler!$C$58)*(1-Girdiler!$C$60))</f>
        <v/>
      </c>
      <c r="AD17" s="21">
        <f>IF('Zaman'!AD15=1,'Uretim'!AD16*(1-Girdiler!$C$58*Girdiler!$C$59)*(1-Girdiler!$C$61),'Uretim'!AD16*Girdiler!$C$59*(1-Girdiler!$C$58)*(1-Girdiler!$C$60))</f>
        <v/>
      </c>
      <c r="AE17" s="21">
        <f>IF('Zaman'!AE15=1,'Uretim'!AE16*(1-Girdiler!$C$58*Girdiler!$C$59)*(1-Girdiler!$C$61),'Uretim'!AE16*Girdiler!$C$59*(1-Girdiler!$C$58)*(1-Girdiler!$C$60))</f>
        <v/>
      </c>
      <c r="AF17" s="21">
        <f>IF('Zaman'!AF15=1,'Uretim'!AF16*(1-Girdiler!$C$58*Girdiler!$C$59)*(1-Girdiler!$C$61),'Uretim'!AF16*Girdiler!$C$59*(1-Girdiler!$C$58)*(1-Girdiler!$C$60))</f>
        <v/>
      </c>
      <c r="AG17" s="21">
        <f>IF('Zaman'!AG15=1,'Uretim'!AG16*(1-Girdiler!$C$58*Girdiler!$C$59)*(1-Girdiler!$C$61),'Uretim'!AG16*Girdiler!$C$59*(1-Girdiler!$C$58)*(1-Girdiler!$C$60))</f>
        <v/>
      </c>
      <c r="AH17" s="21">
        <f>IF('Zaman'!AH15=1,'Uretim'!AH16*(1-Girdiler!$C$58*Girdiler!$C$59)*(1-Girdiler!$C$61),'Uretim'!AH16*Girdiler!$C$59*(1-Girdiler!$C$58)*(1-Girdiler!$C$60))</f>
        <v/>
      </c>
      <c r="AI17" s="21">
        <f>IF('Zaman'!AI15=1,'Uretim'!AI16*(1-Girdiler!$C$58*Girdiler!$C$59)*(1-Girdiler!$C$61),'Uretim'!AI16*Girdiler!$C$59*(1-Girdiler!$C$58)*(1-Girdiler!$C$60))</f>
        <v/>
      </c>
      <c r="AJ17" s="21">
        <f>IF('Zaman'!AJ15=1,'Uretim'!AJ16*(1-Girdiler!$C$58*Girdiler!$C$59)*(1-Girdiler!$C$61),'Uretim'!AJ16*Girdiler!$C$59*(1-Girdiler!$C$58)*(1-Girdiler!$C$60))</f>
        <v/>
      </c>
      <c r="AK17" s="21">
        <f>IF('Zaman'!AK15=1,'Uretim'!AK16*(1-Girdiler!$C$58*Girdiler!$C$59)*(1-Girdiler!$C$61),'Uretim'!AK16*Girdiler!$C$59*(1-Girdiler!$C$58)*(1-Girdiler!$C$60))</f>
        <v/>
      </c>
      <c r="AL17" s="21">
        <f>IF('Zaman'!AL15=1,'Uretim'!AL16*(1-Girdiler!$C$58*Girdiler!$C$59)*(1-Girdiler!$C$61),'Uretim'!AL16*Girdiler!$C$59*(1-Girdiler!$C$58)*(1-Girdiler!$C$60))</f>
        <v/>
      </c>
      <c r="AM17" s="21">
        <f>IF('Zaman'!AM15=1,'Uretim'!AM16*(1-Girdiler!$C$58*Girdiler!$C$59)*(1-Girdiler!$C$61),'Uretim'!AM16*Girdiler!$C$59*(1-Girdiler!$C$58)*(1-Girdiler!$C$60))</f>
        <v/>
      </c>
      <c r="AN17" s="21">
        <f>IF('Zaman'!AN15=1,'Uretim'!AN16*(1-Girdiler!$C$58*Girdiler!$C$59)*(1-Girdiler!$C$61),'Uretim'!AN16*Girdiler!$C$59*(1-Girdiler!$C$58)*(1-Girdiler!$C$60))</f>
        <v/>
      </c>
      <c r="AO17" s="21">
        <f>IF('Zaman'!AO15=1,'Uretim'!AO16*(1-Girdiler!$C$58*Girdiler!$C$59)*(1-Girdiler!$C$61),'Uretim'!AO16*Girdiler!$C$59*(1-Girdiler!$C$58)*(1-Girdiler!$C$60))</f>
        <v/>
      </c>
      <c r="AP17" s="21">
        <f>IF('Zaman'!AP15=1,'Uretim'!AP16*(1-Girdiler!$C$58*Girdiler!$C$59)*(1-Girdiler!$C$61),'Uretim'!AP16*Girdiler!$C$59*(1-Girdiler!$C$58)*(1-Girdiler!$C$60))</f>
        <v/>
      </c>
      <c r="AQ17" s="21">
        <f>IF('Zaman'!AQ15=1,'Uretim'!AQ16*(1-Girdiler!$C$58*Girdiler!$C$59)*(1-Girdiler!$C$61),'Uretim'!AQ16*Girdiler!$C$59*(1-Girdiler!$C$58)*(1-Girdiler!$C$60))</f>
        <v/>
      </c>
      <c r="AR17" s="21">
        <f>IF('Zaman'!AR15=1,'Uretim'!AR16*(1-Girdiler!$C$58*Girdiler!$C$59)*(1-Girdiler!$C$61),'Uretim'!AR16*Girdiler!$C$59*(1-Girdiler!$C$58)*(1-Girdiler!$C$60))</f>
        <v/>
      </c>
    </row>
    <row r="18">
      <c r="A18" t="inlineStr">
        <is>
          <t>Kesinti enerji kaybı payı</t>
        </is>
      </c>
      <c r="B18" t="inlineStr">
        <is>
          <t>oran</t>
        </is>
      </c>
      <c r="C18" t="inlineStr"/>
      <c r="E18" s="21" t="n">
        <v>0</v>
      </c>
      <c r="F18" s="21">
        <f>'Uretim'!F16*(1-Girdiler!$C$61)</f>
        <v/>
      </c>
      <c r="G18" s="21">
        <f>'Uretim'!G16*(1-Girdiler!$C$61)</f>
        <v/>
      </c>
      <c r="H18" s="21">
        <f>'Uretim'!H16*(1-Girdiler!$C$61)</f>
        <v/>
      </c>
      <c r="I18" s="21">
        <f>'Uretim'!I16*(1-Girdiler!$C$61)</f>
        <v/>
      </c>
      <c r="J18" s="21">
        <f>'Uretim'!J16*(1-Girdiler!$C$61)</f>
        <v/>
      </c>
      <c r="K18" s="21">
        <f>'Uretim'!K16*(1-Girdiler!$C$61)</f>
        <v/>
      </c>
      <c r="L18" s="21">
        <f>'Uretim'!L16*(1-Girdiler!$C$61)</f>
        <v/>
      </c>
      <c r="M18" s="21">
        <f>'Uretim'!M16*(1-Girdiler!$C$61)</f>
        <v/>
      </c>
      <c r="N18" s="21">
        <f>'Uretim'!N16*(1-Girdiler!$C$61)</f>
        <v/>
      </c>
      <c r="O18" s="21">
        <f>'Uretim'!O16*(1-Girdiler!$C$61)</f>
        <v/>
      </c>
      <c r="P18" s="21">
        <f>'Uretim'!P16*(1-Girdiler!$C$61)</f>
        <v/>
      </c>
      <c r="Q18" s="21">
        <f>'Uretim'!Q16*(1-Girdiler!$C$61)</f>
        <v/>
      </c>
      <c r="R18" s="21">
        <f>'Uretim'!R16*(1-Girdiler!$C$61)</f>
        <v/>
      </c>
      <c r="S18" s="21">
        <f>'Uretim'!S16*(1-Girdiler!$C$61)</f>
        <v/>
      </c>
      <c r="T18" s="21">
        <f>'Uretim'!T16*(1-Girdiler!$C$61)</f>
        <v/>
      </c>
      <c r="U18" s="21">
        <f>'Uretim'!U16*(1-Girdiler!$C$61)</f>
        <v/>
      </c>
      <c r="V18" s="21">
        <f>'Uretim'!V16*(1-Girdiler!$C$61)</f>
        <v/>
      </c>
      <c r="W18" s="21">
        <f>'Uretim'!W16*(1-Girdiler!$C$61)</f>
        <v/>
      </c>
      <c r="X18" s="21">
        <f>'Uretim'!X16*(1-Girdiler!$C$61)</f>
        <v/>
      </c>
      <c r="Y18" s="21">
        <f>'Uretim'!Y16*(1-Girdiler!$C$61)</f>
        <v/>
      </c>
      <c r="Z18" s="21">
        <f>'Uretim'!Z16*(1-Girdiler!$C$61)</f>
        <v/>
      </c>
      <c r="AA18" s="21">
        <f>'Uretim'!AA16*(1-Girdiler!$C$61)</f>
        <v/>
      </c>
      <c r="AB18" s="21">
        <f>'Uretim'!AB16*(1-Girdiler!$C$61)</f>
        <v/>
      </c>
      <c r="AC18" s="21">
        <f>'Uretim'!AC16*(1-Girdiler!$C$61)</f>
        <v/>
      </c>
      <c r="AD18" s="21">
        <f>'Uretim'!AD16*(1-Girdiler!$C$61)</f>
        <v/>
      </c>
      <c r="AE18" s="21">
        <f>'Uretim'!AE16*(1-Girdiler!$C$61)</f>
        <v/>
      </c>
      <c r="AF18" s="21">
        <f>'Uretim'!AF16*(1-Girdiler!$C$61)</f>
        <v/>
      </c>
      <c r="AG18" s="21">
        <f>'Uretim'!AG16*(1-Girdiler!$C$61)</f>
        <v/>
      </c>
      <c r="AH18" s="21">
        <f>'Uretim'!AH16*(1-Girdiler!$C$61)</f>
        <v/>
      </c>
      <c r="AI18" s="21">
        <f>'Uretim'!AI16*(1-Girdiler!$C$61)</f>
        <v/>
      </c>
      <c r="AJ18" s="21">
        <f>'Uretim'!AJ16*(1-Girdiler!$C$61)</f>
        <v/>
      </c>
      <c r="AK18" s="21">
        <f>'Uretim'!AK16*(1-Girdiler!$C$61)</f>
        <v/>
      </c>
      <c r="AL18" s="21">
        <f>'Uretim'!AL16*(1-Girdiler!$C$61)</f>
        <v/>
      </c>
      <c r="AM18" s="21">
        <f>'Uretim'!AM16*(1-Girdiler!$C$61)</f>
        <v/>
      </c>
      <c r="AN18" s="21">
        <f>'Uretim'!AN16*(1-Girdiler!$C$61)</f>
        <v/>
      </c>
      <c r="AO18" s="21">
        <f>'Uretim'!AO16*(1-Girdiler!$C$61)</f>
        <v/>
      </c>
      <c r="AP18" s="21">
        <f>'Uretim'!AP16*(1-Girdiler!$C$61)</f>
        <v/>
      </c>
      <c r="AQ18" s="21">
        <f>'Uretim'!AQ16*(1-Girdiler!$C$61)</f>
        <v/>
      </c>
      <c r="AR18" s="21">
        <f>'Uretim'!AR16*(1-Girdiler!$C$61)</f>
        <v/>
      </c>
    </row>
    <row r="19">
      <c r="A19" t="inlineStr">
        <is>
          <t>RES satılan enerji (kesinti sonrası)</t>
        </is>
      </c>
      <c r="B19" t="inlineStr">
        <is>
          <t>MWh</t>
        </is>
      </c>
      <c r="C19" t="inlineStr"/>
      <c r="D19" s="18">
        <f>SUM(F19:AR19)</f>
        <v/>
      </c>
      <c r="E19" s="18" t="n">
        <v>0</v>
      </c>
      <c r="F19" s="18">
        <f>'Uretim'!F9*(1-'Uretim'!F18)</f>
        <v/>
      </c>
      <c r="G19" s="18">
        <f>'Uretim'!G9*(1-'Uretim'!G18)</f>
        <v/>
      </c>
      <c r="H19" s="18">
        <f>'Uretim'!H9*(1-'Uretim'!H18)</f>
        <v/>
      </c>
      <c r="I19" s="18">
        <f>'Uretim'!I9*(1-'Uretim'!I18)</f>
        <v/>
      </c>
      <c r="J19" s="18">
        <f>'Uretim'!J9*(1-'Uretim'!J18)</f>
        <v/>
      </c>
      <c r="K19" s="18">
        <f>'Uretim'!K9*(1-'Uretim'!K18)</f>
        <v/>
      </c>
      <c r="L19" s="18">
        <f>'Uretim'!L9*(1-'Uretim'!L18)</f>
        <v/>
      </c>
      <c r="M19" s="18">
        <f>'Uretim'!M9*(1-'Uretim'!M18)</f>
        <v/>
      </c>
      <c r="N19" s="18">
        <f>'Uretim'!N9*(1-'Uretim'!N18)</f>
        <v/>
      </c>
      <c r="O19" s="18">
        <f>'Uretim'!O9*(1-'Uretim'!O18)</f>
        <v/>
      </c>
      <c r="P19" s="18">
        <f>'Uretim'!P9*(1-'Uretim'!P18)</f>
        <v/>
      </c>
      <c r="Q19" s="18">
        <f>'Uretim'!Q9*(1-'Uretim'!Q18)</f>
        <v/>
      </c>
      <c r="R19" s="18">
        <f>'Uretim'!R9*(1-'Uretim'!R18)</f>
        <v/>
      </c>
      <c r="S19" s="18">
        <f>'Uretim'!S9*(1-'Uretim'!S18)</f>
        <v/>
      </c>
      <c r="T19" s="18">
        <f>'Uretim'!T9*(1-'Uretim'!T18)</f>
        <v/>
      </c>
      <c r="U19" s="18">
        <f>'Uretim'!U9*(1-'Uretim'!U18)</f>
        <v/>
      </c>
      <c r="V19" s="18">
        <f>'Uretim'!V9*(1-'Uretim'!V18)</f>
        <v/>
      </c>
      <c r="W19" s="18">
        <f>'Uretim'!W9*(1-'Uretim'!W18)</f>
        <v/>
      </c>
      <c r="X19" s="18">
        <f>'Uretim'!X9*(1-'Uretim'!X18)</f>
        <v/>
      </c>
      <c r="Y19" s="18">
        <f>'Uretim'!Y9*(1-'Uretim'!Y18)</f>
        <v/>
      </c>
      <c r="Z19" s="18">
        <f>'Uretim'!Z9*(1-'Uretim'!Z18)</f>
        <v/>
      </c>
      <c r="AA19" s="18">
        <f>'Uretim'!AA9*(1-'Uretim'!AA18)</f>
        <v/>
      </c>
      <c r="AB19" s="18">
        <f>'Uretim'!AB9*(1-'Uretim'!AB18)</f>
        <v/>
      </c>
      <c r="AC19" s="18">
        <f>'Uretim'!AC9*(1-'Uretim'!AC18)</f>
        <v/>
      </c>
      <c r="AD19" s="18">
        <f>'Uretim'!AD9*(1-'Uretim'!AD18)</f>
        <v/>
      </c>
      <c r="AE19" s="18">
        <f>'Uretim'!AE9*(1-'Uretim'!AE18)</f>
        <v/>
      </c>
      <c r="AF19" s="18">
        <f>'Uretim'!AF9*(1-'Uretim'!AF18)</f>
        <v/>
      </c>
      <c r="AG19" s="18">
        <f>'Uretim'!AG9*(1-'Uretim'!AG18)</f>
        <v/>
      </c>
      <c r="AH19" s="18">
        <f>'Uretim'!AH9*(1-'Uretim'!AH18)</f>
        <v/>
      </c>
      <c r="AI19" s="18">
        <f>'Uretim'!AI9*(1-'Uretim'!AI18)</f>
        <v/>
      </c>
      <c r="AJ19" s="18">
        <f>'Uretim'!AJ9*(1-'Uretim'!AJ18)</f>
        <v/>
      </c>
      <c r="AK19" s="18">
        <f>'Uretim'!AK9*(1-'Uretim'!AK18)</f>
        <v/>
      </c>
      <c r="AL19" s="18">
        <f>'Uretim'!AL9*(1-'Uretim'!AL18)</f>
        <v/>
      </c>
      <c r="AM19" s="18">
        <f>'Uretim'!AM9*(1-'Uretim'!AM18)</f>
        <v/>
      </c>
      <c r="AN19" s="18">
        <f>'Uretim'!AN9*(1-'Uretim'!AN18)</f>
        <v/>
      </c>
      <c r="AO19" s="18">
        <f>'Uretim'!AO9*(1-'Uretim'!AO18)</f>
        <v/>
      </c>
      <c r="AP19" s="18">
        <f>'Uretim'!AP9*(1-'Uretim'!AP18)</f>
        <v/>
      </c>
      <c r="AQ19" s="18">
        <f>'Uretim'!AQ9*(1-'Uretim'!AQ18)</f>
        <v/>
      </c>
      <c r="AR19" s="18">
        <f>'Uretim'!AR9*(1-'Uretim'!AR18)</f>
        <v/>
      </c>
    </row>
    <row r="20">
      <c r="A20" t="inlineStr">
        <is>
          <t>Toplam satılan enerji</t>
        </is>
      </c>
      <c r="B20" t="inlineStr">
        <is>
          <t>MWh</t>
        </is>
      </c>
      <c r="C20" t="inlineStr"/>
      <c r="D20" s="18">
        <f>SUM(F20:AR20)</f>
        <v/>
      </c>
      <c r="E20" s="18" t="n">
        <v>0</v>
      </c>
      <c r="F20" s="18">
        <f>'Uretim'!F19+'Uretim'!F11</f>
        <v/>
      </c>
      <c r="G20" s="18">
        <f>'Uretim'!G19+'Uretim'!G11</f>
        <v/>
      </c>
      <c r="H20" s="18">
        <f>'Uretim'!H19+'Uretim'!H11</f>
        <v/>
      </c>
      <c r="I20" s="18">
        <f>'Uretim'!I19+'Uretim'!I11</f>
        <v/>
      </c>
      <c r="J20" s="18">
        <f>'Uretim'!J19+'Uretim'!J11</f>
        <v/>
      </c>
      <c r="K20" s="18">
        <f>'Uretim'!K19+'Uretim'!K11</f>
        <v/>
      </c>
      <c r="L20" s="18">
        <f>'Uretim'!L19+'Uretim'!L11</f>
        <v/>
      </c>
      <c r="M20" s="18">
        <f>'Uretim'!M19+'Uretim'!M11</f>
        <v/>
      </c>
      <c r="N20" s="18">
        <f>'Uretim'!N19+'Uretim'!N11</f>
        <v/>
      </c>
      <c r="O20" s="18">
        <f>'Uretim'!O19+'Uretim'!O11</f>
        <v/>
      </c>
      <c r="P20" s="18">
        <f>'Uretim'!P19+'Uretim'!P11</f>
        <v/>
      </c>
      <c r="Q20" s="18">
        <f>'Uretim'!Q19+'Uretim'!Q11</f>
        <v/>
      </c>
      <c r="R20" s="18">
        <f>'Uretim'!R19+'Uretim'!R11</f>
        <v/>
      </c>
      <c r="S20" s="18">
        <f>'Uretim'!S19+'Uretim'!S11</f>
        <v/>
      </c>
      <c r="T20" s="18">
        <f>'Uretim'!T19+'Uretim'!T11</f>
        <v/>
      </c>
      <c r="U20" s="18">
        <f>'Uretim'!U19+'Uretim'!U11</f>
        <v/>
      </c>
      <c r="V20" s="18">
        <f>'Uretim'!V19+'Uretim'!V11</f>
        <v/>
      </c>
      <c r="W20" s="18">
        <f>'Uretim'!W19+'Uretim'!W11</f>
        <v/>
      </c>
      <c r="X20" s="18">
        <f>'Uretim'!X19+'Uretim'!X11</f>
        <v/>
      </c>
      <c r="Y20" s="18">
        <f>'Uretim'!Y19+'Uretim'!Y11</f>
        <v/>
      </c>
      <c r="Z20" s="18">
        <f>'Uretim'!Z19+'Uretim'!Z11</f>
        <v/>
      </c>
      <c r="AA20" s="18">
        <f>'Uretim'!AA19+'Uretim'!AA11</f>
        <v/>
      </c>
      <c r="AB20" s="18">
        <f>'Uretim'!AB19+'Uretim'!AB11</f>
        <v/>
      </c>
      <c r="AC20" s="18">
        <f>'Uretim'!AC19+'Uretim'!AC11</f>
        <v/>
      </c>
      <c r="AD20" s="18">
        <f>'Uretim'!AD19+'Uretim'!AD11</f>
        <v/>
      </c>
      <c r="AE20" s="18">
        <f>'Uretim'!AE19+'Uretim'!AE11</f>
        <v/>
      </c>
      <c r="AF20" s="18">
        <f>'Uretim'!AF19+'Uretim'!AF11</f>
        <v/>
      </c>
      <c r="AG20" s="18">
        <f>'Uretim'!AG19+'Uretim'!AG11</f>
        <v/>
      </c>
      <c r="AH20" s="18">
        <f>'Uretim'!AH19+'Uretim'!AH11</f>
        <v/>
      </c>
      <c r="AI20" s="18">
        <f>'Uretim'!AI19+'Uretim'!AI11</f>
        <v/>
      </c>
      <c r="AJ20" s="18">
        <f>'Uretim'!AJ19+'Uretim'!AJ11</f>
        <v/>
      </c>
      <c r="AK20" s="18">
        <f>'Uretim'!AK19+'Uretim'!AK11</f>
        <v/>
      </c>
      <c r="AL20" s="18">
        <f>'Uretim'!AL19+'Uretim'!AL11</f>
        <v/>
      </c>
      <c r="AM20" s="18">
        <f>'Uretim'!AM19+'Uretim'!AM11</f>
        <v/>
      </c>
      <c r="AN20" s="18">
        <f>'Uretim'!AN19+'Uretim'!AN11</f>
        <v/>
      </c>
      <c r="AO20" s="18">
        <f>'Uretim'!AO19+'Uretim'!AO11</f>
        <v/>
      </c>
      <c r="AP20" s="18">
        <f>'Uretim'!AP19+'Uretim'!AP11</f>
        <v/>
      </c>
      <c r="AQ20" s="18">
        <f>'Uretim'!AQ19+'Uretim'!AQ11</f>
        <v/>
      </c>
      <c r="AR20" s="18">
        <f>'Uretim'!AR19+'Uretim'!AR11</f>
        <v/>
      </c>
    </row>
    <row r="21"/>
    <row r="22">
      <c r="A22" s="26" t="inlineStr">
        <is>
          <t>— Blok: P90 (borç boyutlandırma) —</t>
        </is>
      </c>
    </row>
    <row r="23">
      <c r="A23" t="inlineStr">
        <is>
          <t>gelir_res_q</t>
        </is>
      </c>
      <c r="B23" t="inlineStr">
        <is>
          <t>birim</t>
        </is>
      </c>
      <c r="C23" t="inlineStr">
        <is>
          <t>Python_girdileri (rejim: katılıma göre Y1/Y0, aksi T)</t>
        </is>
      </c>
      <c r="D23" s="18">
        <f>SUM(F23:AR23)</f>
        <v/>
      </c>
      <c r="E23" s="18" t="n">
        <v>0</v>
      </c>
      <c r="F23" s="18">
        <f>IF('Zaman'!F13=1,IF(Girdiler!$C$91=1,IF('Zaman'!F15=1,INDEX(Python_girdileri!$AS$6:$AS$35,'Zaman'!F9),INDEX(Python_girdileri!$AC$6:$AC$35,'Zaman'!F9)),INDEX(Python_girdileri!$M$6:$M$35,'Zaman'!F9)),0)</f>
        <v/>
      </c>
      <c r="G23" s="18">
        <f>IF('Zaman'!G13=1,IF(Girdiler!$C$91=1,IF('Zaman'!G15=1,INDEX(Python_girdileri!$AS$6:$AS$35,'Zaman'!G9),INDEX(Python_girdileri!$AC$6:$AC$35,'Zaman'!G9)),INDEX(Python_girdileri!$M$6:$M$35,'Zaman'!G9)),0)</f>
        <v/>
      </c>
      <c r="H23" s="18">
        <f>IF('Zaman'!H13=1,IF(Girdiler!$C$91=1,IF('Zaman'!H15=1,INDEX(Python_girdileri!$AS$6:$AS$35,'Zaman'!H9),INDEX(Python_girdileri!$AC$6:$AC$35,'Zaman'!H9)),INDEX(Python_girdileri!$M$6:$M$35,'Zaman'!H9)),0)</f>
        <v/>
      </c>
      <c r="I23" s="18">
        <f>IF('Zaman'!I13=1,IF(Girdiler!$C$91=1,IF('Zaman'!I15=1,INDEX(Python_girdileri!$AS$6:$AS$35,'Zaman'!I9),INDEX(Python_girdileri!$AC$6:$AC$35,'Zaman'!I9)),INDEX(Python_girdileri!$M$6:$M$35,'Zaman'!I9)),0)</f>
        <v/>
      </c>
      <c r="J23" s="18">
        <f>IF('Zaman'!J13=1,IF(Girdiler!$C$91=1,IF('Zaman'!J15=1,INDEX(Python_girdileri!$AS$6:$AS$35,'Zaman'!J9),INDEX(Python_girdileri!$AC$6:$AC$35,'Zaman'!J9)),INDEX(Python_girdileri!$M$6:$M$35,'Zaman'!J9)),0)</f>
        <v/>
      </c>
      <c r="K23" s="18">
        <f>IF('Zaman'!K13=1,IF(Girdiler!$C$91=1,IF('Zaman'!K15=1,INDEX(Python_girdileri!$AS$6:$AS$35,'Zaman'!K9),INDEX(Python_girdileri!$AC$6:$AC$35,'Zaman'!K9)),INDEX(Python_girdileri!$M$6:$M$35,'Zaman'!K9)),0)</f>
        <v/>
      </c>
      <c r="L23" s="18">
        <f>IF('Zaman'!L13=1,IF(Girdiler!$C$91=1,IF('Zaman'!L15=1,INDEX(Python_girdileri!$AS$6:$AS$35,'Zaman'!L9),INDEX(Python_girdileri!$AC$6:$AC$35,'Zaman'!L9)),INDEX(Python_girdileri!$M$6:$M$35,'Zaman'!L9)),0)</f>
        <v/>
      </c>
      <c r="M23" s="18">
        <f>IF('Zaman'!M13=1,IF(Girdiler!$C$91=1,IF('Zaman'!M15=1,INDEX(Python_girdileri!$AS$6:$AS$35,'Zaman'!M9),INDEX(Python_girdileri!$AC$6:$AC$35,'Zaman'!M9)),INDEX(Python_girdileri!$M$6:$M$35,'Zaman'!M9)),0)</f>
        <v/>
      </c>
      <c r="N23" s="18">
        <f>IF('Zaman'!N13=1,IF(Girdiler!$C$91=1,IF('Zaman'!N15=1,INDEX(Python_girdileri!$AS$6:$AS$35,'Zaman'!N9),INDEX(Python_girdileri!$AC$6:$AC$35,'Zaman'!N9)),INDEX(Python_girdileri!$M$6:$M$35,'Zaman'!N9)),0)</f>
        <v/>
      </c>
      <c r="O23" s="18">
        <f>IF('Zaman'!O13=1,IF(Girdiler!$C$91=1,IF('Zaman'!O15=1,INDEX(Python_girdileri!$AS$6:$AS$35,'Zaman'!O9),INDEX(Python_girdileri!$AC$6:$AC$35,'Zaman'!O9)),INDEX(Python_girdileri!$M$6:$M$35,'Zaman'!O9)),0)</f>
        <v/>
      </c>
      <c r="P23" s="18">
        <f>IF('Zaman'!P13=1,IF(Girdiler!$C$91=1,IF('Zaman'!P15=1,INDEX(Python_girdileri!$AS$6:$AS$35,'Zaman'!P9),INDEX(Python_girdileri!$AC$6:$AC$35,'Zaman'!P9)),INDEX(Python_girdileri!$M$6:$M$35,'Zaman'!P9)),0)</f>
        <v/>
      </c>
      <c r="Q23" s="18">
        <f>IF('Zaman'!Q13=1,IF(Girdiler!$C$91=1,IF('Zaman'!Q15=1,INDEX(Python_girdileri!$AS$6:$AS$35,'Zaman'!Q9),INDEX(Python_girdileri!$AC$6:$AC$35,'Zaman'!Q9)),INDEX(Python_girdileri!$M$6:$M$35,'Zaman'!Q9)),0)</f>
        <v/>
      </c>
      <c r="R23" s="18">
        <f>IF('Zaman'!R13=1,IF(Girdiler!$C$91=1,IF('Zaman'!R15=1,INDEX(Python_girdileri!$AS$6:$AS$35,'Zaman'!R9),INDEX(Python_girdileri!$AC$6:$AC$35,'Zaman'!R9)),INDEX(Python_girdileri!$M$6:$M$35,'Zaman'!R9)),0)</f>
        <v/>
      </c>
      <c r="S23" s="18">
        <f>IF('Zaman'!S13=1,IF(Girdiler!$C$91=1,IF('Zaman'!S15=1,INDEX(Python_girdileri!$AS$6:$AS$35,'Zaman'!S9),INDEX(Python_girdileri!$AC$6:$AC$35,'Zaman'!S9)),INDEX(Python_girdileri!$M$6:$M$35,'Zaman'!S9)),0)</f>
        <v/>
      </c>
      <c r="T23" s="18">
        <f>IF('Zaman'!T13=1,IF(Girdiler!$C$91=1,IF('Zaman'!T15=1,INDEX(Python_girdileri!$AS$6:$AS$35,'Zaman'!T9),INDEX(Python_girdileri!$AC$6:$AC$35,'Zaman'!T9)),INDEX(Python_girdileri!$M$6:$M$35,'Zaman'!T9)),0)</f>
        <v/>
      </c>
      <c r="U23" s="18">
        <f>IF('Zaman'!U13=1,IF(Girdiler!$C$91=1,IF('Zaman'!U15=1,INDEX(Python_girdileri!$AS$6:$AS$35,'Zaman'!U9),INDEX(Python_girdileri!$AC$6:$AC$35,'Zaman'!U9)),INDEX(Python_girdileri!$M$6:$M$35,'Zaman'!U9)),0)</f>
        <v/>
      </c>
      <c r="V23" s="18">
        <f>IF('Zaman'!V13=1,IF(Girdiler!$C$91=1,IF('Zaman'!V15=1,INDEX(Python_girdileri!$AS$6:$AS$35,'Zaman'!V9),INDEX(Python_girdileri!$AC$6:$AC$35,'Zaman'!V9)),INDEX(Python_girdileri!$M$6:$M$35,'Zaman'!V9)),0)</f>
        <v/>
      </c>
      <c r="W23" s="18">
        <f>IF('Zaman'!W13=1,IF(Girdiler!$C$91=1,IF('Zaman'!W15=1,INDEX(Python_girdileri!$AS$6:$AS$35,'Zaman'!W9),INDEX(Python_girdileri!$AC$6:$AC$35,'Zaman'!W9)),INDEX(Python_girdileri!$M$6:$M$35,'Zaman'!W9)),0)</f>
        <v/>
      </c>
      <c r="X23" s="18">
        <f>IF('Zaman'!X13=1,IF(Girdiler!$C$91=1,IF('Zaman'!X15=1,INDEX(Python_girdileri!$AS$6:$AS$35,'Zaman'!X9),INDEX(Python_girdileri!$AC$6:$AC$35,'Zaman'!X9)),INDEX(Python_girdileri!$M$6:$M$35,'Zaman'!X9)),0)</f>
        <v/>
      </c>
      <c r="Y23" s="18">
        <f>IF('Zaman'!Y13=1,IF(Girdiler!$C$91=1,IF('Zaman'!Y15=1,INDEX(Python_girdileri!$AS$6:$AS$35,'Zaman'!Y9),INDEX(Python_girdileri!$AC$6:$AC$35,'Zaman'!Y9)),INDEX(Python_girdileri!$M$6:$M$35,'Zaman'!Y9)),0)</f>
        <v/>
      </c>
      <c r="Z23" s="18">
        <f>IF('Zaman'!Z13=1,IF(Girdiler!$C$91=1,IF('Zaman'!Z15=1,INDEX(Python_girdileri!$AS$6:$AS$35,'Zaman'!Z9),INDEX(Python_girdileri!$AC$6:$AC$35,'Zaman'!Z9)),INDEX(Python_girdileri!$M$6:$M$35,'Zaman'!Z9)),0)</f>
        <v/>
      </c>
      <c r="AA23" s="18">
        <f>IF('Zaman'!AA13=1,IF(Girdiler!$C$91=1,IF('Zaman'!AA15=1,INDEX(Python_girdileri!$AS$6:$AS$35,'Zaman'!AA9),INDEX(Python_girdileri!$AC$6:$AC$35,'Zaman'!AA9)),INDEX(Python_girdileri!$M$6:$M$35,'Zaman'!AA9)),0)</f>
        <v/>
      </c>
      <c r="AB23" s="18">
        <f>IF('Zaman'!AB13=1,IF(Girdiler!$C$91=1,IF('Zaman'!AB15=1,INDEX(Python_girdileri!$AS$6:$AS$35,'Zaman'!AB9),INDEX(Python_girdileri!$AC$6:$AC$35,'Zaman'!AB9)),INDEX(Python_girdileri!$M$6:$M$35,'Zaman'!AB9)),0)</f>
        <v/>
      </c>
      <c r="AC23" s="18">
        <f>IF('Zaman'!AC13=1,IF(Girdiler!$C$91=1,IF('Zaman'!AC15=1,INDEX(Python_girdileri!$AS$6:$AS$35,'Zaman'!AC9),INDEX(Python_girdileri!$AC$6:$AC$35,'Zaman'!AC9)),INDEX(Python_girdileri!$M$6:$M$35,'Zaman'!AC9)),0)</f>
        <v/>
      </c>
      <c r="AD23" s="18">
        <f>IF('Zaman'!AD13=1,IF(Girdiler!$C$91=1,IF('Zaman'!AD15=1,INDEX(Python_girdileri!$AS$6:$AS$35,'Zaman'!AD9),INDEX(Python_girdileri!$AC$6:$AC$35,'Zaman'!AD9)),INDEX(Python_girdileri!$M$6:$M$35,'Zaman'!AD9)),0)</f>
        <v/>
      </c>
      <c r="AE23" s="18">
        <f>IF('Zaman'!AE13=1,IF(Girdiler!$C$91=1,IF('Zaman'!AE15=1,INDEX(Python_girdileri!$AS$6:$AS$35,'Zaman'!AE9),INDEX(Python_girdileri!$AC$6:$AC$35,'Zaman'!AE9)),INDEX(Python_girdileri!$M$6:$M$35,'Zaman'!AE9)),0)</f>
        <v/>
      </c>
      <c r="AF23" s="18">
        <f>IF('Zaman'!AF13=1,IF(Girdiler!$C$91=1,IF('Zaman'!AF15=1,INDEX(Python_girdileri!$AS$6:$AS$35,'Zaman'!AF9),INDEX(Python_girdileri!$AC$6:$AC$35,'Zaman'!AF9)),INDEX(Python_girdileri!$M$6:$M$35,'Zaman'!AF9)),0)</f>
        <v/>
      </c>
      <c r="AG23" s="18">
        <f>IF('Zaman'!AG13=1,IF(Girdiler!$C$91=1,IF('Zaman'!AG15=1,INDEX(Python_girdileri!$AS$6:$AS$35,'Zaman'!AG9),INDEX(Python_girdileri!$AC$6:$AC$35,'Zaman'!AG9)),INDEX(Python_girdileri!$M$6:$M$35,'Zaman'!AG9)),0)</f>
        <v/>
      </c>
      <c r="AH23" s="18">
        <f>IF('Zaman'!AH13=1,IF(Girdiler!$C$91=1,IF('Zaman'!AH15=1,INDEX(Python_girdileri!$AS$6:$AS$35,'Zaman'!AH9),INDEX(Python_girdileri!$AC$6:$AC$35,'Zaman'!AH9)),INDEX(Python_girdileri!$M$6:$M$35,'Zaman'!AH9)),0)</f>
        <v/>
      </c>
      <c r="AI23" s="18">
        <f>IF('Zaman'!AI13=1,IF(Girdiler!$C$91=1,IF('Zaman'!AI15=1,INDEX(Python_girdileri!$AS$6:$AS$35,'Zaman'!AI9),INDEX(Python_girdileri!$AC$6:$AC$35,'Zaman'!AI9)),INDEX(Python_girdileri!$M$6:$M$35,'Zaman'!AI9)),0)</f>
        <v/>
      </c>
      <c r="AJ23" s="18">
        <f>IF('Zaman'!AJ13=1,IF(Girdiler!$C$91=1,IF('Zaman'!AJ15=1,INDEX(Python_girdileri!$AS$6:$AS$35,'Zaman'!AJ9),INDEX(Python_girdileri!$AC$6:$AC$35,'Zaman'!AJ9)),INDEX(Python_girdileri!$M$6:$M$35,'Zaman'!AJ9)),0)</f>
        <v/>
      </c>
      <c r="AK23" s="18">
        <f>IF('Zaman'!AK13=1,IF(Girdiler!$C$91=1,IF('Zaman'!AK15=1,INDEX(Python_girdileri!$AS$6:$AS$35,'Zaman'!AK9),INDEX(Python_girdileri!$AC$6:$AC$35,'Zaman'!AK9)),INDEX(Python_girdileri!$M$6:$M$35,'Zaman'!AK9)),0)</f>
        <v/>
      </c>
      <c r="AL23" s="18">
        <f>IF('Zaman'!AL13=1,IF(Girdiler!$C$91=1,IF('Zaman'!AL15=1,INDEX(Python_girdileri!$AS$6:$AS$35,'Zaman'!AL9),INDEX(Python_girdileri!$AC$6:$AC$35,'Zaman'!AL9)),INDEX(Python_girdileri!$M$6:$M$35,'Zaman'!AL9)),0)</f>
        <v/>
      </c>
      <c r="AM23" s="18">
        <f>IF('Zaman'!AM13=1,IF(Girdiler!$C$91=1,IF('Zaman'!AM15=1,INDEX(Python_girdileri!$AS$6:$AS$35,'Zaman'!AM9),INDEX(Python_girdileri!$AC$6:$AC$35,'Zaman'!AM9)),INDEX(Python_girdileri!$M$6:$M$35,'Zaman'!AM9)),0)</f>
        <v/>
      </c>
      <c r="AN23" s="18">
        <f>IF('Zaman'!AN13=1,IF(Girdiler!$C$91=1,IF('Zaman'!AN15=1,INDEX(Python_girdileri!$AS$6:$AS$35,'Zaman'!AN9),INDEX(Python_girdileri!$AC$6:$AC$35,'Zaman'!AN9)),INDEX(Python_girdileri!$M$6:$M$35,'Zaman'!AN9)),0)</f>
        <v/>
      </c>
      <c r="AO23" s="18">
        <f>IF('Zaman'!AO13=1,IF(Girdiler!$C$91=1,IF('Zaman'!AO15=1,INDEX(Python_girdileri!$AS$6:$AS$35,'Zaman'!AO9),INDEX(Python_girdileri!$AC$6:$AC$35,'Zaman'!AO9)),INDEX(Python_girdileri!$M$6:$M$35,'Zaman'!AO9)),0)</f>
        <v/>
      </c>
      <c r="AP23" s="18">
        <f>IF('Zaman'!AP13=1,IF(Girdiler!$C$91=1,IF('Zaman'!AP15=1,INDEX(Python_girdileri!$AS$6:$AS$35,'Zaman'!AP9),INDEX(Python_girdileri!$AC$6:$AC$35,'Zaman'!AP9)),INDEX(Python_girdileri!$M$6:$M$35,'Zaman'!AP9)),0)</f>
        <v/>
      </c>
      <c r="AQ23" s="18">
        <f>IF('Zaman'!AQ13=1,IF(Girdiler!$C$91=1,IF('Zaman'!AQ15=1,INDEX(Python_girdileri!$AS$6:$AS$35,'Zaman'!AQ9),INDEX(Python_girdileri!$AC$6:$AC$35,'Zaman'!AQ9)),INDEX(Python_girdileri!$M$6:$M$35,'Zaman'!AQ9)),0)</f>
        <v/>
      </c>
      <c r="AR23" s="18">
        <f>IF('Zaman'!AR13=1,IF(Girdiler!$C$91=1,IF('Zaman'!AR15=1,INDEX(Python_girdileri!$AS$6:$AS$35,'Zaman'!AR9),INDEX(Python_girdileri!$AC$6:$AC$35,'Zaman'!AR9)),INDEX(Python_girdileri!$M$6:$M$35,'Zaman'!AR9)),0)</f>
        <v/>
      </c>
    </row>
    <row r="24">
      <c r="A24" t="inlineStr">
        <is>
          <t>E_res</t>
        </is>
      </c>
      <c r="B24" t="inlineStr">
        <is>
          <t>MWh</t>
        </is>
      </c>
      <c r="C24" t="inlineStr">
        <is>
          <t>Python_girdileri (rejim: katılıma göre Y1/Y0, aksi T)</t>
        </is>
      </c>
      <c r="D24" s="18">
        <f>SUM(F24:AR24)</f>
        <v/>
      </c>
      <c r="E24" s="18" t="n">
        <v>0</v>
      </c>
      <c r="F24" s="18">
        <f>IF('Zaman'!F13=1,IF(Girdiler!$C$91=1,IF('Zaman'!F15=1,INDEX(Python_girdileri!$AT$6:$AT$35,'Zaman'!F9),INDEX(Python_girdileri!$AD$6:$AD$35,'Zaman'!F9)),INDEX(Python_girdileri!$N$6:$N$35,'Zaman'!F9)),0)</f>
        <v/>
      </c>
      <c r="G24" s="18">
        <f>IF('Zaman'!G13=1,IF(Girdiler!$C$91=1,IF('Zaman'!G15=1,INDEX(Python_girdileri!$AT$6:$AT$35,'Zaman'!G9),INDEX(Python_girdileri!$AD$6:$AD$35,'Zaman'!G9)),INDEX(Python_girdileri!$N$6:$N$35,'Zaman'!G9)),0)</f>
        <v/>
      </c>
      <c r="H24" s="18">
        <f>IF('Zaman'!H13=1,IF(Girdiler!$C$91=1,IF('Zaman'!H15=1,INDEX(Python_girdileri!$AT$6:$AT$35,'Zaman'!H9),INDEX(Python_girdileri!$AD$6:$AD$35,'Zaman'!H9)),INDEX(Python_girdileri!$N$6:$N$35,'Zaman'!H9)),0)</f>
        <v/>
      </c>
      <c r="I24" s="18">
        <f>IF('Zaman'!I13=1,IF(Girdiler!$C$91=1,IF('Zaman'!I15=1,INDEX(Python_girdileri!$AT$6:$AT$35,'Zaman'!I9),INDEX(Python_girdileri!$AD$6:$AD$35,'Zaman'!I9)),INDEX(Python_girdileri!$N$6:$N$35,'Zaman'!I9)),0)</f>
        <v/>
      </c>
      <c r="J24" s="18">
        <f>IF('Zaman'!J13=1,IF(Girdiler!$C$91=1,IF('Zaman'!J15=1,INDEX(Python_girdileri!$AT$6:$AT$35,'Zaman'!J9),INDEX(Python_girdileri!$AD$6:$AD$35,'Zaman'!J9)),INDEX(Python_girdileri!$N$6:$N$35,'Zaman'!J9)),0)</f>
        <v/>
      </c>
      <c r="K24" s="18">
        <f>IF('Zaman'!K13=1,IF(Girdiler!$C$91=1,IF('Zaman'!K15=1,INDEX(Python_girdileri!$AT$6:$AT$35,'Zaman'!K9),INDEX(Python_girdileri!$AD$6:$AD$35,'Zaman'!K9)),INDEX(Python_girdileri!$N$6:$N$35,'Zaman'!K9)),0)</f>
        <v/>
      </c>
      <c r="L24" s="18">
        <f>IF('Zaman'!L13=1,IF(Girdiler!$C$91=1,IF('Zaman'!L15=1,INDEX(Python_girdileri!$AT$6:$AT$35,'Zaman'!L9),INDEX(Python_girdileri!$AD$6:$AD$35,'Zaman'!L9)),INDEX(Python_girdileri!$N$6:$N$35,'Zaman'!L9)),0)</f>
        <v/>
      </c>
      <c r="M24" s="18">
        <f>IF('Zaman'!M13=1,IF(Girdiler!$C$91=1,IF('Zaman'!M15=1,INDEX(Python_girdileri!$AT$6:$AT$35,'Zaman'!M9),INDEX(Python_girdileri!$AD$6:$AD$35,'Zaman'!M9)),INDEX(Python_girdileri!$N$6:$N$35,'Zaman'!M9)),0)</f>
        <v/>
      </c>
      <c r="N24" s="18">
        <f>IF('Zaman'!N13=1,IF(Girdiler!$C$91=1,IF('Zaman'!N15=1,INDEX(Python_girdileri!$AT$6:$AT$35,'Zaman'!N9),INDEX(Python_girdileri!$AD$6:$AD$35,'Zaman'!N9)),INDEX(Python_girdileri!$N$6:$N$35,'Zaman'!N9)),0)</f>
        <v/>
      </c>
      <c r="O24" s="18">
        <f>IF('Zaman'!O13=1,IF(Girdiler!$C$91=1,IF('Zaman'!O15=1,INDEX(Python_girdileri!$AT$6:$AT$35,'Zaman'!O9),INDEX(Python_girdileri!$AD$6:$AD$35,'Zaman'!O9)),INDEX(Python_girdileri!$N$6:$N$35,'Zaman'!O9)),0)</f>
        <v/>
      </c>
      <c r="P24" s="18">
        <f>IF('Zaman'!P13=1,IF(Girdiler!$C$91=1,IF('Zaman'!P15=1,INDEX(Python_girdileri!$AT$6:$AT$35,'Zaman'!P9),INDEX(Python_girdileri!$AD$6:$AD$35,'Zaman'!P9)),INDEX(Python_girdileri!$N$6:$N$35,'Zaman'!P9)),0)</f>
        <v/>
      </c>
      <c r="Q24" s="18">
        <f>IF('Zaman'!Q13=1,IF(Girdiler!$C$91=1,IF('Zaman'!Q15=1,INDEX(Python_girdileri!$AT$6:$AT$35,'Zaman'!Q9),INDEX(Python_girdileri!$AD$6:$AD$35,'Zaman'!Q9)),INDEX(Python_girdileri!$N$6:$N$35,'Zaman'!Q9)),0)</f>
        <v/>
      </c>
      <c r="R24" s="18">
        <f>IF('Zaman'!R13=1,IF(Girdiler!$C$91=1,IF('Zaman'!R15=1,INDEX(Python_girdileri!$AT$6:$AT$35,'Zaman'!R9),INDEX(Python_girdileri!$AD$6:$AD$35,'Zaman'!R9)),INDEX(Python_girdileri!$N$6:$N$35,'Zaman'!R9)),0)</f>
        <v/>
      </c>
      <c r="S24" s="18">
        <f>IF('Zaman'!S13=1,IF(Girdiler!$C$91=1,IF('Zaman'!S15=1,INDEX(Python_girdileri!$AT$6:$AT$35,'Zaman'!S9),INDEX(Python_girdileri!$AD$6:$AD$35,'Zaman'!S9)),INDEX(Python_girdileri!$N$6:$N$35,'Zaman'!S9)),0)</f>
        <v/>
      </c>
      <c r="T24" s="18">
        <f>IF('Zaman'!T13=1,IF(Girdiler!$C$91=1,IF('Zaman'!T15=1,INDEX(Python_girdileri!$AT$6:$AT$35,'Zaman'!T9),INDEX(Python_girdileri!$AD$6:$AD$35,'Zaman'!T9)),INDEX(Python_girdileri!$N$6:$N$35,'Zaman'!T9)),0)</f>
        <v/>
      </c>
      <c r="U24" s="18">
        <f>IF('Zaman'!U13=1,IF(Girdiler!$C$91=1,IF('Zaman'!U15=1,INDEX(Python_girdileri!$AT$6:$AT$35,'Zaman'!U9),INDEX(Python_girdileri!$AD$6:$AD$35,'Zaman'!U9)),INDEX(Python_girdileri!$N$6:$N$35,'Zaman'!U9)),0)</f>
        <v/>
      </c>
      <c r="V24" s="18">
        <f>IF('Zaman'!V13=1,IF(Girdiler!$C$91=1,IF('Zaman'!V15=1,INDEX(Python_girdileri!$AT$6:$AT$35,'Zaman'!V9),INDEX(Python_girdileri!$AD$6:$AD$35,'Zaman'!V9)),INDEX(Python_girdileri!$N$6:$N$35,'Zaman'!V9)),0)</f>
        <v/>
      </c>
      <c r="W24" s="18">
        <f>IF('Zaman'!W13=1,IF(Girdiler!$C$91=1,IF('Zaman'!W15=1,INDEX(Python_girdileri!$AT$6:$AT$35,'Zaman'!W9),INDEX(Python_girdileri!$AD$6:$AD$35,'Zaman'!W9)),INDEX(Python_girdileri!$N$6:$N$35,'Zaman'!W9)),0)</f>
        <v/>
      </c>
      <c r="X24" s="18">
        <f>IF('Zaman'!X13=1,IF(Girdiler!$C$91=1,IF('Zaman'!X15=1,INDEX(Python_girdileri!$AT$6:$AT$35,'Zaman'!X9),INDEX(Python_girdileri!$AD$6:$AD$35,'Zaman'!X9)),INDEX(Python_girdileri!$N$6:$N$35,'Zaman'!X9)),0)</f>
        <v/>
      </c>
      <c r="Y24" s="18">
        <f>IF('Zaman'!Y13=1,IF(Girdiler!$C$91=1,IF('Zaman'!Y15=1,INDEX(Python_girdileri!$AT$6:$AT$35,'Zaman'!Y9),INDEX(Python_girdileri!$AD$6:$AD$35,'Zaman'!Y9)),INDEX(Python_girdileri!$N$6:$N$35,'Zaman'!Y9)),0)</f>
        <v/>
      </c>
      <c r="Z24" s="18">
        <f>IF('Zaman'!Z13=1,IF(Girdiler!$C$91=1,IF('Zaman'!Z15=1,INDEX(Python_girdileri!$AT$6:$AT$35,'Zaman'!Z9),INDEX(Python_girdileri!$AD$6:$AD$35,'Zaman'!Z9)),INDEX(Python_girdileri!$N$6:$N$35,'Zaman'!Z9)),0)</f>
        <v/>
      </c>
      <c r="AA24" s="18">
        <f>IF('Zaman'!AA13=1,IF(Girdiler!$C$91=1,IF('Zaman'!AA15=1,INDEX(Python_girdileri!$AT$6:$AT$35,'Zaman'!AA9),INDEX(Python_girdileri!$AD$6:$AD$35,'Zaman'!AA9)),INDEX(Python_girdileri!$N$6:$N$35,'Zaman'!AA9)),0)</f>
        <v/>
      </c>
      <c r="AB24" s="18">
        <f>IF('Zaman'!AB13=1,IF(Girdiler!$C$91=1,IF('Zaman'!AB15=1,INDEX(Python_girdileri!$AT$6:$AT$35,'Zaman'!AB9),INDEX(Python_girdileri!$AD$6:$AD$35,'Zaman'!AB9)),INDEX(Python_girdileri!$N$6:$N$35,'Zaman'!AB9)),0)</f>
        <v/>
      </c>
      <c r="AC24" s="18">
        <f>IF('Zaman'!AC13=1,IF(Girdiler!$C$91=1,IF('Zaman'!AC15=1,INDEX(Python_girdileri!$AT$6:$AT$35,'Zaman'!AC9),INDEX(Python_girdileri!$AD$6:$AD$35,'Zaman'!AC9)),INDEX(Python_girdileri!$N$6:$N$35,'Zaman'!AC9)),0)</f>
        <v/>
      </c>
      <c r="AD24" s="18">
        <f>IF('Zaman'!AD13=1,IF(Girdiler!$C$91=1,IF('Zaman'!AD15=1,INDEX(Python_girdileri!$AT$6:$AT$35,'Zaman'!AD9),INDEX(Python_girdileri!$AD$6:$AD$35,'Zaman'!AD9)),INDEX(Python_girdileri!$N$6:$N$35,'Zaman'!AD9)),0)</f>
        <v/>
      </c>
      <c r="AE24" s="18">
        <f>IF('Zaman'!AE13=1,IF(Girdiler!$C$91=1,IF('Zaman'!AE15=1,INDEX(Python_girdileri!$AT$6:$AT$35,'Zaman'!AE9),INDEX(Python_girdileri!$AD$6:$AD$35,'Zaman'!AE9)),INDEX(Python_girdileri!$N$6:$N$35,'Zaman'!AE9)),0)</f>
        <v/>
      </c>
      <c r="AF24" s="18">
        <f>IF('Zaman'!AF13=1,IF(Girdiler!$C$91=1,IF('Zaman'!AF15=1,INDEX(Python_girdileri!$AT$6:$AT$35,'Zaman'!AF9),INDEX(Python_girdileri!$AD$6:$AD$35,'Zaman'!AF9)),INDEX(Python_girdileri!$N$6:$N$35,'Zaman'!AF9)),0)</f>
        <v/>
      </c>
      <c r="AG24" s="18">
        <f>IF('Zaman'!AG13=1,IF(Girdiler!$C$91=1,IF('Zaman'!AG15=1,INDEX(Python_girdileri!$AT$6:$AT$35,'Zaman'!AG9),INDEX(Python_girdileri!$AD$6:$AD$35,'Zaman'!AG9)),INDEX(Python_girdileri!$N$6:$N$35,'Zaman'!AG9)),0)</f>
        <v/>
      </c>
      <c r="AH24" s="18">
        <f>IF('Zaman'!AH13=1,IF(Girdiler!$C$91=1,IF('Zaman'!AH15=1,INDEX(Python_girdileri!$AT$6:$AT$35,'Zaman'!AH9),INDEX(Python_girdileri!$AD$6:$AD$35,'Zaman'!AH9)),INDEX(Python_girdileri!$N$6:$N$35,'Zaman'!AH9)),0)</f>
        <v/>
      </c>
      <c r="AI24" s="18">
        <f>IF('Zaman'!AI13=1,IF(Girdiler!$C$91=1,IF('Zaman'!AI15=1,INDEX(Python_girdileri!$AT$6:$AT$35,'Zaman'!AI9),INDEX(Python_girdileri!$AD$6:$AD$35,'Zaman'!AI9)),INDEX(Python_girdileri!$N$6:$N$35,'Zaman'!AI9)),0)</f>
        <v/>
      </c>
      <c r="AJ24" s="18">
        <f>IF('Zaman'!AJ13=1,IF(Girdiler!$C$91=1,IF('Zaman'!AJ15=1,INDEX(Python_girdileri!$AT$6:$AT$35,'Zaman'!AJ9),INDEX(Python_girdileri!$AD$6:$AD$35,'Zaman'!AJ9)),INDEX(Python_girdileri!$N$6:$N$35,'Zaman'!AJ9)),0)</f>
        <v/>
      </c>
      <c r="AK24" s="18">
        <f>IF('Zaman'!AK13=1,IF(Girdiler!$C$91=1,IF('Zaman'!AK15=1,INDEX(Python_girdileri!$AT$6:$AT$35,'Zaman'!AK9),INDEX(Python_girdileri!$AD$6:$AD$35,'Zaman'!AK9)),INDEX(Python_girdileri!$N$6:$N$35,'Zaman'!AK9)),0)</f>
        <v/>
      </c>
      <c r="AL24" s="18">
        <f>IF('Zaman'!AL13=1,IF(Girdiler!$C$91=1,IF('Zaman'!AL15=1,INDEX(Python_girdileri!$AT$6:$AT$35,'Zaman'!AL9),INDEX(Python_girdileri!$AD$6:$AD$35,'Zaman'!AL9)),INDEX(Python_girdileri!$N$6:$N$35,'Zaman'!AL9)),0)</f>
        <v/>
      </c>
      <c r="AM24" s="18">
        <f>IF('Zaman'!AM13=1,IF(Girdiler!$C$91=1,IF('Zaman'!AM15=1,INDEX(Python_girdileri!$AT$6:$AT$35,'Zaman'!AM9),INDEX(Python_girdileri!$AD$6:$AD$35,'Zaman'!AM9)),INDEX(Python_girdileri!$N$6:$N$35,'Zaman'!AM9)),0)</f>
        <v/>
      </c>
      <c r="AN24" s="18">
        <f>IF('Zaman'!AN13=1,IF(Girdiler!$C$91=1,IF('Zaman'!AN15=1,INDEX(Python_girdileri!$AT$6:$AT$35,'Zaman'!AN9),INDEX(Python_girdileri!$AD$6:$AD$35,'Zaman'!AN9)),INDEX(Python_girdileri!$N$6:$N$35,'Zaman'!AN9)),0)</f>
        <v/>
      </c>
      <c r="AO24" s="18">
        <f>IF('Zaman'!AO13=1,IF(Girdiler!$C$91=1,IF('Zaman'!AO15=1,INDEX(Python_girdileri!$AT$6:$AT$35,'Zaman'!AO9),INDEX(Python_girdileri!$AD$6:$AD$35,'Zaman'!AO9)),INDEX(Python_girdileri!$N$6:$N$35,'Zaman'!AO9)),0)</f>
        <v/>
      </c>
      <c r="AP24" s="18">
        <f>IF('Zaman'!AP13=1,IF(Girdiler!$C$91=1,IF('Zaman'!AP15=1,INDEX(Python_girdileri!$AT$6:$AT$35,'Zaman'!AP9),INDEX(Python_girdileri!$AD$6:$AD$35,'Zaman'!AP9)),INDEX(Python_girdileri!$N$6:$N$35,'Zaman'!AP9)),0)</f>
        <v/>
      </c>
      <c r="AQ24" s="18">
        <f>IF('Zaman'!AQ13=1,IF(Girdiler!$C$91=1,IF('Zaman'!AQ15=1,INDEX(Python_girdileri!$AT$6:$AT$35,'Zaman'!AQ9),INDEX(Python_girdileri!$AD$6:$AD$35,'Zaman'!AQ9)),INDEX(Python_girdileri!$N$6:$N$35,'Zaman'!AQ9)),0)</f>
        <v/>
      </c>
      <c r="AR24" s="18">
        <f>IF('Zaman'!AR13=1,IF(Girdiler!$C$91=1,IF('Zaman'!AR15=1,INDEX(Python_girdileri!$AT$6:$AT$35,'Zaman'!AR9),INDEX(Python_girdileri!$AD$6:$AD$35,'Zaman'!AR9)),INDEX(Python_girdileri!$N$6:$N$35,'Zaman'!AR9)),0)</f>
        <v/>
      </c>
    </row>
    <row r="25">
      <c r="A25" t="inlineStr">
        <is>
          <t>gelir_d_q</t>
        </is>
      </c>
      <c r="B25" t="inlineStr">
        <is>
          <t>birim</t>
        </is>
      </c>
      <c r="C25" t="inlineStr">
        <is>
          <t>Python_girdileri (rejim: katılıma göre Y1/Y0, aksi T)</t>
        </is>
      </c>
      <c r="D25" s="18">
        <f>SUM(F25:AR25)</f>
        <v/>
      </c>
      <c r="E25" s="18" t="n">
        <v>0</v>
      </c>
      <c r="F25" s="18">
        <f>IF('Zaman'!F13=1,IF(Girdiler!$C$91=1,IF('Zaman'!F15=1,INDEX(Python_girdileri!$AU$6:$AU$35,'Zaman'!F9),INDEX(Python_girdileri!$AE$6:$AE$35,'Zaman'!F9)),INDEX(Python_girdileri!$O$6:$O$35,'Zaman'!F9)),0)</f>
        <v/>
      </c>
      <c r="G25" s="18">
        <f>IF('Zaman'!G13=1,IF(Girdiler!$C$91=1,IF('Zaman'!G15=1,INDEX(Python_girdileri!$AU$6:$AU$35,'Zaman'!G9),INDEX(Python_girdileri!$AE$6:$AE$35,'Zaman'!G9)),INDEX(Python_girdileri!$O$6:$O$35,'Zaman'!G9)),0)</f>
        <v/>
      </c>
      <c r="H25" s="18">
        <f>IF('Zaman'!H13=1,IF(Girdiler!$C$91=1,IF('Zaman'!H15=1,INDEX(Python_girdileri!$AU$6:$AU$35,'Zaman'!H9),INDEX(Python_girdileri!$AE$6:$AE$35,'Zaman'!H9)),INDEX(Python_girdileri!$O$6:$O$35,'Zaman'!H9)),0)</f>
        <v/>
      </c>
      <c r="I25" s="18">
        <f>IF('Zaman'!I13=1,IF(Girdiler!$C$91=1,IF('Zaman'!I15=1,INDEX(Python_girdileri!$AU$6:$AU$35,'Zaman'!I9),INDEX(Python_girdileri!$AE$6:$AE$35,'Zaman'!I9)),INDEX(Python_girdileri!$O$6:$O$35,'Zaman'!I9)),0)</f>
        <v/>
      </c>
      <c r="J25" s="18">
        <f>IF('Zaman'!J13=1,IF(Girdiler!$C$91=1,IF('Zaman'!J15=1,INDEX(Python_girdileri!$AU$6:$AU$35,'Zaman'!J9),INDEX(Python_girdileri!$AE$6:$AE$35,'Zaman'!J9)),INDEX(Python_girdileri!$O$6:$O$35,'Zaman'!J9)),0)</f>
        <v/>
      </c>
      <c r="K25" s="18">
        <f>IF('Zaman'!K13=1,IF(Girdiler!$C$91=1,IF('Zaman'!K15=1,INDEX(Python_girdileri!$AU$6:$AU$35,'Zaman'!K9),INDEX(Python_girdileri!$AE$6:$AE$35,'Zaman'!K9)),INDEX(Python_girdileri!$O$6:$O$35,'Zaman'!K9)),0)</f>
        <v/>
      </c>
      <c r="L25" s="18">
        <f>IF('Zaman'!L13=1,IF(Girdiler!$C$91=1,IF('Zaman'!L15=1,INDEX(Python_girdileri!$AU$6:$AU$35,'Zaman'!L9),INDEX(Python_girdileri!$AE$6:$AE$35,'Zaman'!L9)),INDEX(Python_girdileri!$O$6:$O$35,'Zaman'!L9)),0)</f>
        <v/>
      </c>
      <c r="M25" s="18">
        <f>IF('Zaman'!M13=1,IF(Girdiler!$C$91=1,IF('Zaman'!M15=1,INDEX(Python_girdileri!$AU$6:$AU$35,'Zaman'!M9),INDEX(Python_girdileri!$AE$6:$AE$35,'Zaman'!M9)),INDEX(Python_girdileri!$O$6:$O$35,'Zaman'!M9)),0)</f>
        <v/>
      </c>
      <c r="N25" s="18">
        <f>IF('Zaman'!N13=1,IF(Girdiler!$C$91=1,IF('Zaman'!N15=1,INDEX(Python_girdileri!$AU$6:$AU$35,'Zaman'!N9),INDEX(Python_girdileri!$AE$6:$AE$35,'Zaman'!N9)),INDEX(Python_girdileri!$O$6:$O$35,'Zaman'!N9)),0)</f>
        <v/>
      </c>
      <c r="O25" s="18">
        <f>IF('Zaman'!O13=1,IF(Girdiler!$C$91=1,IF('Zaman'!O15=1,INDEX(Python_girdileri!$AU$6:$AU$35,'Zaman'!O9),INDEX(Python_girdileri!$AE$6:$AE$35,'Zaman'!O9)),INDEX(Python_girdileri!$O$6:$O$35,'Zaman'!O9)),0)</f>
        <v/>
      </c>
      <c r="P25" s="18">
        <f>IF('Zaman'!P13=1,IF(Girdiler!$C$91=1,IF('Zaman'!P15=1,INDEX(Python_girdileri!$AU$6:$AU$35,'Zaman'!P9),INDEX(Python_girdileri!$AE$6:$AE$35,'Zaman'!P9)),INDEX(Python_girdileri!$O$6:$O$35,'Zaman'!P9)),0)</f>
        <v/>
      </c>
      <c r="Q25" s="18">
        <f>IF('Zaman'!Q13=1,IF(Girdiler!$C$91=1,IF('Zaman'!Q15=1,INDEX(Python_girdileri!$AU$6:$AU$35,'Zaman'!Q9),INDEX(Python_girdileri!$AE$6:$AE$35,'Zaman'!Q9)),INDEX(Python_girdileri!$O$6:$O$35,'Zaman'!Q9)),0)</f>
        <v/>
      </c>
      <c r="R25" s="18">
        <f>IF('Zaman'!R13=1,IF(Girdiler!$C$91=1,IF('Zaman'!R15=1,INDEX(Python_girdileri!$AU$6:$AU$35,'Zaman'!R9),INDEX(Python_girdileri!$AE$6:$AE$35,'Zaman'!R9)),INDEX(Python_girdileri!$O$6:$O$35,'Zaman'!R9)),0)</f>
        <v/>
      </c>
      <c r="S25" s="18">
        <f>IF('Zaman'!S13=1,IF(Girdiler!$C$91=1,IF('Zaman'!S15=1,INDEX(Python_girdileri!$AU$6:$AU$35,'Zaman'!S9),INDEX(Python_girdileri!$AE$6:$AE$35,'Zaman'!S9)),INDEX(Python_girdileri!$O$6:$O$35,'Zaman'!S9)),0)</f>
        <v/>
      </c>
      <c r="T25" s="18">
        <f>IF('Zaman'!T13=1,IF(Girdiler!$C$91=1,IF('Zaman'!T15=1,INDEX(Python_girdileri!$AU$6:$AU$35,'Zaman'!T9),INDEX(Python_girdileri!$AE$6:$AE$35,'Zaman'!T9)),INDEX(Python_girdileri!$O$6:$O$35,'Zaman'!T9)),0)</f>
        <v/>
      </c>
      <c r="U25" s="18">
        <f>IF('Zaman'!U13=1,IF(Girdiler!$C$91=1,IF('Zaman'!U15=1,INDEX(Python_girdileri!$AU$6:$AU$35,'Zaman'!U9),INDEX(Python_girdileri!$AE$6:$AE$35,'Zaman'!U9)),INDEX(Python_girdileri!$O$6:$O$35,'Zaman'!U9)),0)</f>
        <v/>
      </c>
      <c r="V25" s="18">
        <f>IF('Zaman'!V13=1,IF(Girdiler!$C$91=1,IF('Zaman'!V15=1,INDEX(Python_girdileri!$AU$6:$AU$35,'Zaman'!V9),INDEX(Python_girdileri!$AE$6:$AE$35,'Zaman'!V9)),INDEX(Python_girdileri!$O$6:$O$35,'Zaman'!V9)),0)</f>
        <v/>
      </c>
      <c r="W25" s="18">
        <f>IF('Zaman'!W13=1,IF(Girdiler!$C$91=1,IF('Zaman'!W15=1,INDEX(Python_girdileri!$AU$6:$AU$35,'Zaman'!W9),INDEX(Python_girdileri!$AE$6:$AE$35,'Zaman'!W9)),INDEX(Python_girdileri!$O$6:$O$35,'Zaman'!W9)),0)</f>
        <v/>
      </c>
      <c r="X25" s="18">
        <f>IF('Zaman'!X13=1,IF(Girdiler!$C$91=1,IF('Zaman'!X15=1,INDEX(Python_girdileri!$AU$6:$AU$35,'Zaman'!X9),INDEX(Python_girdileri!$AE$6:$AE$35,'Zaman'!X9)),INDEX(Python_girdileri!$O$6:$O$35,'Zaman'!X9)),0)</f>
        <v/>
      </c>
      <c r="Y25" s="18">
        <f>IF('Zaman'!Y13=1,IF(Girdiler!$C$91=1,IF('Zaman'!Y15=1,INDEX(Python_girdileri!$AU$6:$AU$35,'Zaman'!Y9),INDEX(Python_girdileri!$AE$6:$AE$35,'Zaman'!Y9)),INDEX(Python_girdileri!$O$6:$O$35,'Zaman'!Y9)),0)</f>
        <v/>
      </c>
      <c r="Z25" s="18">
        <f>IF('Zaman'!Z13=1,IF(Girdiler!$C$91=1,IF('Zaman'!Z15=1,INDEX(Python_girdileri!$AU$6:$AU$35,'Zaman'!Z9),INDEX(Python_girdileri!$AE$6:$AE$35,'Zaman'!Z9)),INDEX(Python_girdileri!$O$6:$O$35,'Zaman'!Z9)),0)</f>
        <v/>
      </c>
      <c r="AA25" s="18">
        <f>IF('Zaman'!AA13=1,IF(Girdiler!$C$91=1,IF('Zaman'!AA15=1,INDEX(Python_girdileri!$AU$6:$AU$35,'Zaman'!AA9),INDEX(Python_girdileri!$AE$6:$AE$35,'Zaman'!AA9)),INDEX(Python_girdileri!$O$6:$O$35,'Zaman'!AA9)),0)</f>
        <v/>
      </c>
      <c r="AB25" s="18">
        <f>IF('Zaman'!AB13=1,IF(Girdiler!$C$91=1,IF('Zaman'!AB15=1,INDEX(Python_girdileri!$AU$6:$AU$35,'Zaman'!AB9),INDEX(Python_girdileri!$AE$6:$AE$35,'Zaman'!AB9)),INDEX(Python_girdileri!$O$6:$O$35,'Zaman'!AB9)),0)</f>
        <v/>
      </c>
      <c r="AC25" s="18">
        <f>IF('Zaman'!AC13=1,IF(Girdiler!$C$91=1,IF('Zaman'!AC15=1,INDEX(Python_girdileri!$AU$6:$AU$35,'Zaman'!AC9),INDEX(Python_girdileri!$AE$6:$AE$35,'Zaman'!AC9)),INDEX(Python_girdileri!$O$6:$O$35,'Zaman'!AC9)),0)</f>
        <v/>
      </c>
      <c r="AD25" s="18">
        <f>IF('Zaman'!AD13=1,IF(Girdiler!$C$91=1,IF('Zaman'!AD15=1,INDEX(Python_girdileri!$AU$6:$AU$35,'Zaman'!AD9),INDEX(Python_girdileri!$AE$6:$AE$35,'Zaman'!AD9)),INDEX(Python_girdileri!$O$6:$O$35,'Zaman'!AD9)),0)</f>
        <v/>
      </c>
      <c r="AE25" s="18">
        <f>IF('Zaman'!AE13=1,IF(Girdiler!$C$91=1,IF('Zaman'!AE15=1,INDEX(Python_girdileri!$AU$6:$AU$35,'Zaman'!AE9),INDEX(Python_girdileri!$AE$6:$AE$35,'Zaman'!AE9)),INDEX(Python_girdileri!$O$6:$O$35,'Zaman'!AE9)),0)</f>
        <v/>
      </c>
      <c r="AF25" s="18">
        <f>IF('Zaman'!AF13=1,IF(Girdiler!$C$91=1,IF('Zaman'!AF15=1,INDEX(Python_girdileri!$AU$6:$AU$35,'Zaman'!AF9),INDEX(Python_girdileri!$AE$6:$AE$35,'Zaman'!AF9)),INDEX(Python_girdileri!$O$6:$O$35,'Zaman'!AF9)),0)</f>
        <v/>
      </c>
      <c r="AG25" s="18">
        <f>IF('Zaman'!AG13=1,IF(Girdiler!$C$91=1,IF('Zaman'!AG15=1,INDEX(Python_girdileri!$AU$6:$AU$35,'Zaman'!AG9),INDEX(Python_girdileri!$AE$6:$AE$35,'Zaman'!AG9)),INDEX(Python_girdileri!$O$6:$O$35,'Zaman'!AG9)),0)</f>
        <v/>
      </c>
      <c r="AH25" s="18">
        <f>IF('Zaman'!AH13=1,IF(Girdiler!$C$91=1,IF('Zaman'!AH15=1,INDEX(Python_girdileri!$AU$6:$AU$35,'Zaman'!AH9),INDEX(Python_girdileri!$AE$6:$AE$35,'Zaman'!AH9)),INDEX(Python_girdileri!$O$6:$O$35,'Zaman'!AH9)),0)</f>
        <v/>
      </c>
      <c r="AI25" s="18">
        <f>IF('Zaman'!AI13=1,IF(Girdiler!$C$91=1,IF('Zaman'!AI15=1,INDEX(Python_girdileri!$AU$6:$AU$35,'Zaman'!AI9),INDEX(Python_girdileri!$AE$6:$AE$35,'Zaman'!AI9)),INDEX(Python_girdileri!$O$6:$O$35,'Zaman'!AI9)),0)</f>
        <v/>
      </c>
      <c r="AJ25" s="18">
        <f>IF('Zaman'!AJ13=1,IF(Girdiler!$C$91=1,IF('Zaman'!AJ15=1,INDEX(Python_girdileri!$AU$6:$AU$35,'Zaman'!AJ9),INDEX(Python_girdileri!$AE$6:$AE$35,'Zaman'!AJ9)),INDEX(Python_girdileri!$O$6:$O$35,'Zaman'!AJ9)),0)</f>
        <v/>
      </c>
      <c r="AK25" s="18">
        <f>IF('Zaman'!AK13=1,IF(Girdiler!$C$91=1,IF('Zaman'!AK15=1,INDEX(Python_girdileri!$AU$6:$AU$35,'Zaman'!AK9),INDEX(Python_girdileri!$AE$6:$AE$35,'Zaman'!AK9)),INDEX(Python_girdileri!$O$6:$O$35,'Zaman'!AK9)),0)</f>
        <v/>
      </c>
      <c r="AL25" s="18">
        <f>IF('Zaman'!AL13=1,IF(Girdiler!$C$91=1,IF('Zaman'!AL15=1,INDEX(Python_girdileri!$AU$6:$AU$35,'Zaman'!AL9),INDEX(Python_girdileri!$AE$6:$AE$35,'Zaman'!AL9)),INDEX(Python_girdileri!$O$6:$O$35,'Zaman'!AL9)),0)</f>
        <v/>
      </c>
      <c r="AM25" s="18">
        <f>IF('Zaman'!AM13=1,IF(Girdiler!$C$91=1,IF('Zaman'!AM15=1,INDEX(Python_girdileri!$AU$6:$AU$35,'Zaman'!AM9),INDEX(Python_girdileri!$AE$6:$AE$35,'Zaman'!AM9)),INDEX(Python_girdileri!$O$6:$O$35,'Zaman'!AM9)),0)</f>
        <v/>
      </c>
      <c r="AN25" s="18">
        <f>IF('Zaman'!AN13=1,IF(Girdiler!$C$91=1,IF('Zaman'!AN15=1,INDEX(Python_girdileri!$AU$6:$AU$35,'Zaman'!AN9),INDEX(Python_girdileri!$AE$6:$AE$35,'Zaman'!AN9)),INDEX(Python_girdileri!$O$6:$O$35,'Zaman'!AN9)),0)</f>
        <v/>
      </c>
      <c r="AO25" s="18">
        <f>IF('Zaman'!AO13=1,IF(Girdiler!$C$91=1,IF('Zaman'!AO15=1,INDEX(Python_girdileri!$AU$6:$AU$35,'Zaman'!AO9),INDEX(Python_girdileri!$AE$6:$AE$35,'Zaman'!AO9)),INDEX(Python_girdileri!$O$6:$O$35,'Zaman'!AO9)),0)</f>
        <v/>
      </c>
      <c r="AP25" s="18">
        <f>IF('Zaman'!AP13=1,IF(Girdiler!$C$91=1,IF('Zaman'!AP15=1,INDEX(Python_girdileri!$AU$6:$AU$35,'Zaman'!AP9),INDEX(Python_girdileri!$AE$6:$AE$35,'Zaman'!AP9)),INDEX(Python_girdileri!$O$6:$O$35,'Zaman'!AP9)),0)</f>
        <v/>
      </c>
      <c r="AQ25" s="18">
        <f>IF('Zaman'!AQ13=1,IF(Girdiler!$C$91=1,IF('Zaman'!AQ15=1,INDEX(Python_girdileri!$AU$6:$AU$35,'Zaman'!AQ9),INDEX(Python_girdileri!$AE$6:$AE$35,'Zaman'!AQ9)),INDEX(Python_girdileri!$O$6:$O$35,'Zaman'!AQ9)),0)</f>
        <v/>
      </c>
      <c r="AR25" s="18">
        <f>IF('Zaman'!AR13=1,IF(Girdiler!$C$91=1,IF('Zaman'!AR15=1,INDEX(Python_girdileri!$AU$6:$AU$35,'Zaman'!AR9),INDEX(Python_girdileri!$AE$6:$AE$35,'Zaman'!AR9)),INDEX(Python_girdileri!$O$6:$O$35,'Zaman'!AR9)),0)</f>
        <v/>
      </c>
    </row>
    <row r="26">
      <c r="A26" t="inlineStr">
        <is>
          <t>E_d</t>
        </is>
      </c>
      <c r="B26" t="inlineStr">
        <is>
          <t>MWh</t>
        </is>
      </c>
      <c r="C26" t="inlineStr">
        <is>
          <t>Python_girdileri (rejim: katılıma göre Y1/Y0, aksi T)</t>
        </is>
      </c>
      <c r="D26" s="18">
        <f>SUM(F26:AR26)</f>
        <v/>
      </c>
      <c r="E26" s="18" t="n">
        <v>0</v>
      </c>
      <c r="F26" s="18">
        <f>IF('Zaman'!F13=1,IF(Girdiler!$C$91=1,IF('Zaman'!F15=1,INDEX(Python_girdileri!$AV$6:$AV$35,'Zaman'!F9),INDEX(Python_girdileri!$AF$6:$AF$35,'Zaman'!F9)),INDEX(Python_girdileri!$P$6:$P$35,'Zaman'!F9)),0)</f>
        <v/>
      </c>
      <c r="G26" s="18">
        <f>IF('Zaman'!G13=1,IF(Girdiler!$C$91=1,IF('Zaman'!G15=1,INDEX(Python_girdileri!$AV$6:$AV$35,'Zaman'!G9),INDEX(Python_girdileri!$AF$6:$AF$35,'Zaman'!G9)),INDEX(Python_girdileri!$P$6:$P$35,'Zaman'!G9)),0)</f>
        <v/>
      </c>
      <c r="H26" s="18">
        <f>IF('Zaman'!H13=1,IF(Girdiler!$C$91=1,IF('Zaman'!H15=1,INDEX(Python_girdileri!$AV$6:$AV$35,'Zaman'!H9),INDEX(Python_girdileri!$AF$6:$AF$35,'Zaman'!H9)),INDEX(Python_girdileri!$P$6:$P$35,'Zaman'!H9)),0)</f>
        <v/>
      </c>
      <c r="I26" s="18">
        <f>IF('Zaman'!I13=1,IF(Girdiler!$C$91=1,IF('Zaman'!I15=1,INDEX(Python_girdileri!$AV$6:$AV$35,'Zaman'!I9),INDEX(Python_girdileri!$AF$6:$AF$35,'Zaman'!I9)),INDEX(Python_girdileri!$P$6:$P$35,'Zaman'!I9)),0)</f>
        <v/>
      </c>
      <c r="J26" s="18">
        <f>IF('Zaman'!J13=1,IF(Girdiler!$C$91=1,IF('Zaman'!J15=1,INDEX(Python_girdileri!$AV$6:$AV$35,'Zaman'!J9),INDEX(Python_girdileri!$AF$6:$AF$35,'Zaman'!J9)),INDEX(Python_girdileri!$P$6:$P$35,'Zaman'!J9)),0)</f>
        <v/>
      </c>
      <c r="K26" s="18">
        <f>IF('Zaman'!K13=1,IF(Girdiler!$C$91=1,IF('Zaman'!K15=1,INDEX(Python_girdileri!$AV$6:$AV$35,'Zaman'!K9),INDEX(Python_girdileri!$AF$6:$AF$35,'Zaman'!K9)),INDEX(Python_girdileri!$P$6:$P$35,'Zaman'!K9)),0)</f>
        <v/>
      </c>
      <c r="L26" s="18">
        <f>IF('Zaman'!L13=1,IF(Girdiler!$C$91=1,IF('Zaman'!L15=1,INDEX(Python_girdileri!$AV$6:$AV$35,'Zaman'!L9),INDEX(Python_girdileri!$AF$6:$AF$35,'Zaman'!L9)),INDEX(Python_girdileri!$P$6:$P$35,'Zaman'!L9)),0)</f>
        <v/>
      </c>
      <c r="M26" s="18">
        <f>IF('Zaman'!M13=1,IF(Girdiler!$C$91=1,IF('Zaman'!M15=1,INDEX(Python_girdileri!$AV$6:$AV$35,'Zaman'!M9),INDEX(Python_girdileri!$AF$6:$AF$35,'Zaman'!M9)),INDEX(Python_girdileri!$P$6:$P$35,'Zaman'!M9)),0)</f>
        <v/>
      </c>
      <c r="N26" s="18">
        <f>IF('Zaman'!N13=1,IF(Girdiler!$C$91=1,IF('Zaman'!N15=1,INDEX(Python_girdileri!$AV$6:$AV$35,'Zaman'!N9),INDEX(Python_girdileri!$AF$6:$AF$35,'Zaman'!N9)),INDEX(Python_girdileri!$P$6:$P$35,'Zaman'!N9)),0)</f>
        <v/>
      </c>
      <c r="O26" s="18">
        <f>IF('Zaman'!O13=1,IF(Girdiler!$C$91=1,IF('Zaman'!O15=1,INDEX(Python_girdileri!$AV$6:$AV$35,'Zaman'!O9),INDEX(Python_girdileri!$AF$6:$AF$35,'Zaman'!O9)),INDEX(Python_girdileri!$P$6:$P$35,'Zaman'!O9)),0)</f>
        <v/>
      </c>
      <c r="P26" s="18">
        <f>IF('Zaman'!P13=1,IF(Girdiler!$C$91=1,IF('Zaman'!P15=1,INDEX(Python_girdileri!$AV$6:$AV$35,'Zaman'!P9),INDEX(Python_girdileri!$AF$6:$AF$35,'Zaman'!P9)),INDEX(Python_girdileri!$P$6:$P$35,'Zaman'!P9)),0)</f>
        <v/>
      </c>
      <c r="Q26" s="18">
        <f>IF('Zaman'!Q13=1,IF(Girdiler!$C$91=1,IF('Zaman'!Q15=1,INDEX(Python_girdileri!$AV$6:$AV$35,'Zaman'!Q9),INDEX(Python_girdileri!$AF$6:$AF$35,'Zaman'!Q9)),INDEX(Python_girdileri!$P$6:$P$35,'Zaman'!Q9)),0)</f>
        <v/>
      </c>
      <c r="R26" s="18">
        <f>IF('Zaman'!R13=1,IF(Girdiler!$C$91=1,IF('Zaman'!R15=1,INDEX(Python_girdileri!$AV$6:$AV$35,'Zaman'!R9),INDEX(Python_girdileri!$AF$6:$AF$35,'Zaman'!R9)),INDEX(Python_girdileri!$P$6:$P$35,'Zaman'!R9)),0)</f>
        <v/>
      </c>
      <c r="S26" s="18">
        <f>IF('Zaman'!S13=1,IF(Girdiler!$C$91=1,IF('Zaman'!S15=1,INDEX(Python_girdileri!$AV$6:$AV$35,'Zaman'!S9),INDEX(Python_girdileri!$AF$6:$AF$35,'Zaman'!S9)),INDEX(Python_girdileri!$P$6:$P$35,'Zaman'!S9)),0)</f>
        <v/>
      </c>
      <c r="T26" s="18">
        <f>IF('Zaman'!T13=1,IF(Girdiler!$C$91=1,IF('Zaman'!T15=1,INDEX(Python_girdileri!$AV$6:$AV$35,'Zaman'!T9),INDEX(Python_girdileri!$AF$6:$AF$35,'Zaman'!T9)),INDEX(Python_girdileri!$P$6:$P$35,'Zaman'!T9)),0)</f>
        <v/>
      </c>
      <c r="U26" s="18">
        <f>IF('Zaman'!U13=1,IF(Girdiler!$C$91=1,IF('Zaman'!U15=1,INDEX(Python_girdileri!$AV$6:$AV$35,'Zaman'!U9),INDEX(Python_girdileri!$AF$6:$AF$35,'Zaman'!U9)),INDEX(Python_girdileri!$P$6:$P$35,'Zaman'!U9)),0)</f>
        <v/>
      </c>
      <c r="V26" s="18">
        <f>IF('Zaman'!V13=1,IF(Girdiler!$C$91=1,IF('Zaman'!V15=1,INDEX(Python_girdileri!$AV$6:$AV$35,'Zaman'!V9),INDEX(Python_girdileri!$AF$6:$AF$35,'Zaman'!V9)),INDEX(Python_girdileri!$P$6:$P$35,'Zaman'!V9)),0)</f>
        <v/>
      </c>
      <c r="W26" s="18">
        <f>IF('Zaman'!W13=1,IF(Girdiler!$C$91=1,IF('Zaman'!W15=1,INDEX(Python_girdileri!$AV$6:$AV$35,'Zaman'!W9),INDEX(Python_girdileri!$AF$6:$AF$35,'Zaman'!W9)),INDEX(Python_girdileri!$P$6:$P$35,'Zaman'!W9)),0)</f>
        <v/>
      </c>
      <c r="X26" s="18">
        <f>IF('Zaman'!X13=1,IF(Girdiler!$C$91=1,IF('Zaman'!X15=1,INDEX(Python_girdileri!$AV$6:$AV$35,'Zaman'!X9),INDEX(Python_girdileri!$AF$6:$AF$35,'Zaman'!X9)),INDEX(Python_girdileri!$P$6:$P$35,'Zaman'!X9)),0)</f>
        <v/>
      </c>
      <c r="Y26" s="18">
        <f>IF('Zaman'!Y13=1,IF(Girdiler!$C$91=1,IF('Zaman'!Y15=1,INDEX(Python_girdileri!$AV$6:$AV$35,'Zaman'!Y9),INDEX(Python_girdileri!$AF$6:$AF$35,'Zaman'!Y9)),INDEX(Python_girdileri!$P$6:$P$35,'Zaman'!Y9)),0)</f>
        <v/>
      </c>
      <c r="Z26" s="18">
        <f>IF('Zaman'!Z13=1,IF(Girdiler!$C$91=1,IF('Zaman'!Z15=1,INDEX(Python_girdileri!$AV$6:$AV$35,'Zaman'!Z9),INDEX(Python_girdileri!$AF$6:$AF$35,'Zaman'!Z9)),INDEX(Python_girdileri!$P$6:$P$35,'Zaman'!Z9)),0)</f>
        <v/>
      </c>
      <c r="AA26" s="18">
        <f>IF('Zaman'!AA13=1,IF(Girdiler!$C$91=1,IF('Zaman'!AA15=1,INDEX(Python_girdileri!$AV$6:$AV$35,'Zaman'!AA9),INDEX(Python_girdileri!$AF$6:$AF$35,'Zaman'!AA9)),INDEX(Python_girdileri!$P$6:$P$35,'Zaman'!AA9)),0)</f>
        <v/>
      </c>
      <c r="AB26" s="18">
        <f>IF('Zaman'!AB13=1,IF(Girdiler!$C$91=1,IF('Zaman'!AB15=1,INDEX(Python_girdileri!$AV$6:$AV$35,'Zaman'!AB9),INDEX(Python_girdileri!$AF$6:$AF$35,'Zaman'!AB9)),INDEX(Python_girdileri!$P$6:$P$35,'Zaman'!AB9)),0)</f>
        <v/>
      </c>
      <c r="AC26" s="18">
        <f>IF('Zaman'!AC13=1,IF(Girdiler!$C$91=1,IF('Zaman'!AC15=1,INDEX(Python_girdileri!$AV$6:$AV$35,'Zaman'!AC9),INDEX(Python_girdileri!$AF$6:$AF$35,'Zaman'!AC9)),INDEX(Python_girdileri!$P$6:$P$35,'Zaman'!AC9)),0)</f>
        <v/>
      </c>
      <c r="AD26" s="18">
        <f>IF('Zaman'!AD13=1,IF(Girdiler!$C$91=1,IF('Zaman'!AD15=1,INDEX(Python_girdileri!$AV$6:$AV$35,'Zaman'!AD9),INDEX(Python_girdileri!$AF$6:$AF$35,'Zaman'!AD9)),INDEX(Python_girdileri!$P$6:$P$35,'Zaman'!AD9)),0)</f>
        <v/>
      </c>
      <c r="AE26" s="18">
        <f>IF('Zaman'!AE13=1,IF(Girdiler!$C$91=1,IF('Zaman'!AE15=1,INDEX(Python_girdileri!$AV$6:$AV$35,'Zaman'!AE9),INDEX(Python_girdileri!$AF$6:$AF$35,'Zaman'!AE9)),INDEX(Python_girdileri!$P$6:$P$35,'Zaman'!AE9)),0)</f>
        <v/>
      </c>
      <c r="AF26" s="18">
        <f>IF('Zaman'!AF13=1,IF(Girdiler!$C$91=1,IF('Zaman'!AF15=1,INDEX(Python_girdileri!$AV$6:$AV$35,'Zaman'!AF9),INDEX(Python_girdileri!$AF$6:$AF$35,'Zaman'!AF9)),INDEX(Python_girdileri!$P$6:$P$35,'Zaman'!AF9)),0)</f>
        <v/>
      </c>
      <c r="AG26" s="18">
        <f>IF('Zaman'!AG13=1,IF(Girdiler!$C$91=1,IF('Zaman'!AG15=1,INDEX(Python_girdileri!$AV$6:$AV$35,'Zaman'!AG9),INDEX(Python_girdileri!$AF$6:$AF$35,'Zaman'!AG9)),INDEX(Python_girdileri!$P$6:$P$35,'Zaman'!AG9)),0)</f>
        <v/>
      </c>
      <c r="AH26" s="18">
        <f>IF('Zaman'!AH13=1,IF(Girdiler!$C$91=1,IF('Zaman'!AH15=1,INDEX(Python_girdileri!$AV$6:$AV$35,'Zaman'!AH9),INDEX(Python_girdileri!$AF$6:$AF$35,'Zaman'!AH9)),INDEX(Python_girdileri!$P$6:$P$35,'Zaman'!AH9)),0)</f>
        <v/>
      </c>
      <c r="AI26" s="18">
        <f>IF('Zaman'!AI13=1,IF(Girdiler!$C$91=1,IF('Zaman'!AI15=1,INDEX(Python_girdileri!$AV$6:$AV$35,'Zaman'!AI9),INDEX(Python_girdileri!$AF$6:$AF$35,'Zaman'!AI9)),INDEX(Python_girdileri!$P$6:$P$35,'Zaman'!AI9)),0)</f>
        <v/>
      </c>
      <c r="AJ26" s="18">
        <f>IF('Zaman'!AJ13=1,IF(Girdiler!$C$91=1,IF('Zaman'!AJ15=1,INDEX(Python_girdileri!$AV$6:$AV$35,'Zaman'!AJ9),INDEX(Python_girdileri!$AF$6:$AF$35,'Zaman'!AJ9)),INDEX(Python_girdileri!$P$6:$P$35,'Zaman'!AJ9)),0)</f>
        <v/>
      </c>
      <c r="AK26" s="18">
        <f>IF('Zaman'!AK13=1,IF(Girdiler!$C$91=1,IF('Zaman'!AK15=1,INDEX(Python_girdileri!$AV$6:$AV$35,'Zaman'!AK9),INDEX(Python_girdileri!$AF$6:$AF$35,'Zaman'!AK9)),INDEX(Python_girdileri!$P$6:$P$35,'Zaman'!AK9)),0)</f>
        <v/>
      </c>
      <c r="AL26" s="18">
        <f>IF('Zaman'!AL13=1,IF(Girdiler!$C$91=1,IF('Zaman'!AL15=1,INDEX(Python_girdileri!$AV$6:$AV$35,'Zaman'!AL9),INDEX(Python_girdileri!$AF$6:$AF$35,'Zaman'!AL9)),INDEX(Python_girdileri!$P$6:$P$35,'Zaman'!AL9)),0)</f>
        <v/>
      </c>
      <c r="AM26" s="18">
        <f>IF('Zaman'!AM13=1,IF(Girdiler!$C$91=1,IF('Zaman'!AM15=1,INDEX(Python_girdileri!$AV$6:$AV$35,'Zaman'!AM9),INDEX(Python_girdileri!$AF$6:$AF$35,'Zaman'!AM9)),INDEX(Python_girdileri!$P$6:$P$35,'Zaman'!AM9)),0)</f>
        <v/>
      </c>
      <c r="AN26" s="18">
        <f>IF('Zaman'!AN13=1,IF(Girdiler!$C$91=1,IF('Zaman'!AN15=1,INDEX(Python_girdileri!$AV$6:$AV$35,'Zaman'!AN9),INDEX(Python_girdileri!$AF$6:$AF$35,'Zaman'!AN9)),INDEX(Python_girdileri!$P$6:$P$35,'Zaman'!AN9)),0)</f>
        <v/>
      </c>
      <c r="AO26" s="18">
        <f>IF('Zaman'!AO13=1,IF(Girdiler!$C$91=1,IF('Zaman'!AO15=1,INDEX(Python_girdileri!$AV$6:$AV$35,'Zaman'!AO9),INDEX(Python_girdileri!$AF$6:$AF$35,'Zaman'!AO9)),INDEX(Python_girdileri!$P$6:$P$35,'Zaman'!AO9)),0)</f>
        <v/>
      </c>
      <c r="AP26" s="18">
        <f>IF('Zaman'!AP13=1,IF(Girdiler!$C$91=1,IF('Zaman'!AP15=1,INDEX(Python_girdileri!$AV$6:$AV$35,'Zaman'!AP9),INDEX(Python_girdileri!$AF$6:$AF$35,'Zaman'!AP9)),INDEX(Python_girdileri!$P$6:$P$35,'Zaman'!AP9)),0)</f>
        <v/>
      </c>
      <c r="AQ26" s="18">
        <f>IF('Zaman'!AQ13=1,IF(Girdiler!$C$91=1,IF('Zaman'!AQ15=1,INDEX(Python_girdileri!$AV$6:$AV$35,'Zaman'!AQ9),INDEX(Python_girdileri!$AF$6:$AF$35,'Zaman'!AQ9)),INDEX(Python_girdileri!$P$6:$P$35,'Zaman'!AQ9)),0)</f>
        <v/>
      </c>
      <c r="AR26" s="18">
        <f>IF('Zaman'!AR13=1,IF(Girdiler!$C$91=1,IF('Zaman'!AR15=1,INDEX(Python_girdileri!$AV$6:$AV$35,'Zaman'!AR9),INDEX(Python_girdileri!$AF$6:$AF$35,'Zaman'!AR9)),INDEX(Python_girdileri!$P$6:$P$35,'Zaman'!AR9)),0)</f>
        <v/>
      </c>
    </row>
    <row r="27">
      <c r="A27" t="inlineStr">
        <is>
          <t>yh_a</t>
        </is>
      </c>
      <c r="B27" t="inlineStr">
        <is>
          <t>birim</t>
        </is>
      </c>
      <c r="C27" t="inlineStr">
        <is>
          <t>Python_girdileri (rejim: katılıma göre Y1/Y0, aksi T)</t>
        </is>
      </c>
      <c r="D27" s="18">
        <f>SUM(F27:AR27)</f>
        <v/>
      </c>
      <c r="E27" s="18" t="n">
        <v>0</v>
      </c>
      <c r="F27" s="18">
        <f>IF('Zaman'!F13=1,IF(Girdiler!$C$91=1,IF('Zaman'!F15=1,INDEX(Python_girdileri!$AW$6:$AW$35,'Zaman'!F9),INDEX(Python_girdileri!$AG$6:$AG$35,'Zaman'!F9)),INDEX(Python_girdileri!$Q$6:$Q$35,'Zaman'!F9)),0)</f>
        <v/>
      </c>
      <c r="G27" s="18">
        <f>IF('Zaman'!G13=1,IF(Girdiler!$C$91=1,IF('Zaman'!G15=1,INDEX(Python_girdileri!$AW$6:$AW$35,'Zaman'!G9),INDEX(Python_girdileri!$AG$6:$AG$35,'Zaman'!G9)),INDEX(Python_girdileri!$Q$6:$Q$35,'Zaman'!G9)),0)</f>
        <v/>
      </c>
      <c r="H27" s="18">
        <f>IF('Zaman'!H13=1,IF(Girdiler!$C$91=1,IF('Zaman'!H15=1,INDEX(Python_girdileri!$AW$6:$AW$35,'Zaman'!H9),INDEX(Python_girdileri!$AG$6:$AG$35,'Zaman'!H9)),INDEX(Python_girdileri!$Q$6:$Q$35,'Zaman'!H9)),0)</f>
        <v/>
      </c>
      <c r="I27" s="18">
        <f>IF('Zaman'!I13=1,IF(Girdiler!$C$91=1,IF('Zaman'!I15=1,INDEX(Python_girdileri!$AW$6:$AW$35,'Zaman'!I9),INDEX(Python_girdileri!$AG$6:$AG$35,'Zaman'!I9)),INDEX(Python_girdileri!$Q$6:$Q$35,'Zaman'!I9)),0)</f>
        <v/>
      </c>
      <c r="J27" s="18">
        <f>IF('Zaman'!J13=1,IF(Girdiler!$C$91=1,IF('Zaman'!J15=1,INDEX(Python_girdileri!$AW$6:$AW$35,'Zaman'!J9),INDEX(Python_girdileri!$AG$6:$AG$35,'Zaman'!J9)),INDEX(Python_girdileri!$Q$6:$Q$35,'Zaman'!J9)),0)</f>
        <v/>
      </c>
      <c r="K27" s="18">
        <f>IF('Zaman'!K13=1,IF(Girdiler!$C$91=1,IF('Zaman'!K15=1,INDEX(Python_girdileri!$AW$6:$AW$35,'Zaman'!K9),INDEX(Python_girdileri!$AG$6:$AG$35,'Zaman'!K9)),INDEX(Python_girdileri!$Q$6:$Q$35,'Zaman'!K9)),0)</f>
        <v/>
      </c>
      <c r="L27" s="18">
        <f>IF('Zaman'!L13=1,IF(Girdiler!$C$91=1,IF('Zaman'!L15=1,INDEX(Python_girdileri!$AW$6:$AW$35,'Zaman'!L9),INDEX(Python_girdileri!$AG$6:$AG$35,'Zaman'!L9)),INDEX(Python_girdileri!$Q$6:$Q$35,'Zaman'!L9)),0)</f>
        <v/>
      </c>
      <c r="M27" s="18">
        <f>IF('Zaman'!M13=1,IF(Girdiler!$C$91=1,IF('Zaman'!M15=1,INDEX(Python_girdileri!$AW$6:$AW$35,'Zaman'!M9),INDEX(Python_girdileri!$AG$6:$AG$35,'Zaman'!M9)),INDEX(Python_girdileri!$Q$6:$Q$35,'Zaman'!M9)),0)</f>
        <v/>
      </c>
      <c r="N27" s="18">
        <f>IF('Zaman'!N13=1,IF(Girdiler!$C$91=1,IF('Zaman'!N15=1,INDEX(Python_girdileri!$AW$6:$AW$35,'Zaman'!N9),INDEX(Python_girdileri!$AG$6:$AG$35,'Zaman'!N9)),INDEX(Python_girdileri!$Q$6:$Q$35,'Zaman'!N9)),0)</f>
        <v/>
      </c>
      <c r="O27" s="18">
        <f>IF('Zaman'!O13=1,IF(Girdiler!$C$91=1,IF('Zaman'!O15=1,INDEX(Python_girdileri!$AW$6:$AW$35,'Zaman'!O9),INDEX(Python_girdileri!$AG$6:$AG$35,'Zaman'!O9)),INDEX(Python_girdileri!$Q$6:$Q$35,'Zaman'!O9)),0)</f>
        <v/>
      </c>
      <c r="P27" s="18">
        <f>IF('Zaman'!P13=1,IF(Girdiler!$C$91=1,IF('Zaman'!P15=1,INDEX(Python_girdileri!$AW$6:$AW$35,'Zaman'!P9),INDEX(Python_girdileri!$AG$6:$AG$35,'Zaman'!P9)),INDEX(Python_girdileri!$Q$6:$Q$35,'Zaman'!P9)),0)</f>
        <v/>
      </c>
      <c r="Q27" s="18">
        <f>IF('Zaman'!Q13=1,IF(Girdiler!$C$91=1,IF('Zaman'!Q15=1,INDEX(Python_girdileri!$AW$6:$AW$35,'Zaman'!Q9),INDEX(Python_girdileri!$AG$6:$AG$35,'Zaman'!Q9)),INDEX(Python_girdileri!$Q$6:$Q$35,'Zaman'!Q9)),0)</f>
        <v/>
      </c>
      <c r="R27" s="18">
        <f>IF('Zaman'!R13=1,IF(Girdiler!$C$91=1,IF('Zaman'!R15=1,INDEX(Python_girdileri!$AW$6:$AW$35,'Zaman'!R9),INDEX(Python_girdileri!$AG$6:$AG$35,'Zaman'!R9)),INDEX(Python_girdileri!$Q$6:$Q$35,'Zaman'!R9)),0)</f>
        <v/>
      </c>
      <c r="S27" s="18">
        <f>IF('Zaman'!S13=1,IF(Girdiler!$C$91=1,IF('Zaman'!S15=1,INDEX(Python_girdileri!$AW$6:$AW$35,'Zaman'!S9),INDEX(Python_girdileri!$AG$6:$AG$35,'Zaman'!S9)),INDEX(Python_girdileri!$Q$6:$Q$35,'Zaman'!S9)),0)</f>
        <v/>
      </c>
      <c r="T27" s="18">
        <f>IF('Zaman'!T13=1,IF(Girdiler!$C$91=1,IF('Zaman'!T15=1,INDEX(Python_girdileri!$AW$6:$AW$35,'Zaman'!T9),INDEX(Python_girdileri!$AG$6:$AG$35,'Zaman'!T9)),INDEX(Python_girdileri!$Q$6:$Q$35,'Zaman'!T9)),0)</f>
        <v/>
      </c>
      <c r="U27" s="18">
        <f>IF('Zaman'!U13=1,IF(Girdiler!$C$91=1,IF('Zaman'!U15=1,INDEX(Python_girdileri!$AW$6:$AW$35,'Zaman'!U9),INDEX(Python_girdileri!$AG$6:$AG$35,'Zaman'!U9)),INDEX(Python_girdileri!$Q$6:$Q$35,'Zaman'!U9)),0)</f>
        <v/>
      </c>
      <c r="V27" s="18">
        <f>IF('Zaman'!V13=1,IF(Girdiler!$C$91=1,IF('Zaman'!V15=1,INDEX(Python_girdileri!$AW$6:$AW$35,'Zaman'!V9),INDEX(Python_girdileri!$AG$6:$AG$35,'Zaman'!V9)),INDEX(Python_girdileri!$Q$6:$Q$35,'Zaman'!V9)),0)</f>
        <v/>
      </c>
      <c r="W27" s="18">
        <f>IF('Zaman'!W13=1,IF(Girdiler!$C$91=1,IF('Zaman'!W15=1,INDEX(Python_girdileri!$AW$6:$AW$35,'Zaman'!W9),INDEX(Python_girdileri!$AG$6:$AG$35,'Zaman'!W9)),INDEX(Python_girdileri!$Q$6:$Q$35,'Zaman'!W9)),0)</f>
        <v/>
      </c>
      <c r="X27" s="18">
        <f>IF('Zaman'!X13=1,IF(Girdiler!$C$91=1,IF('Zaman'!X15=1,INDEX(Python_girdileri!$AW$6:$AW$35,'Zaman'!X9),INDEX(Python_girdileri!$AG$6:$AG$35,'Zaman'!X9)),INDEX(Python_girdileri!$Q$6:$Q$35,'Zaman'!X9)),0)</f>
        <v/>
      </c>
      <c r="Y27" s="18">
        <f>IF('Zaman'!Y13=1,IF(Girdiler!$C$91=1,IF('Zaman'!Y15=1,INDEX(Python_girdileri!$AW$6:$AW$35,'Zaman'!Y9),INDEX(Python_girdileri!$AG$6:$AG$35,'Zaman'!Y9)),INDEX(Python_girdileri!$Q$6:$Q$35,'Zaman'!Y9)),0)</f>
        <v/>
      </c>
      <c r="Z27" s="18">
        <f>IF('Zaman'!Z13=1,IF(Girdiler!$C$91=1,IF('Zaman'!Z15=1,INDEX(Python_girdileri!$AW$6:$AW$35,'Zaman'!Z9),INDEX(Python_girdileri!$AG$6:$AG$35,'Zaman'!Z9)),INDEX(Python_girdileri!$Q$6:$Q$35,'Zaman'!Z9)),0)</f>
        <v/>
      </c>
      <c r="AA27" s="18">
        <f>IF('Zaman'!AA13=1,IF(Girdiler!$C$91=1,IF('Zaman'!AA15=1,INDEX(Python_girdileri!$AW$6:$AW$35,'Zaman'!AA9),INDEX(Python_girdileri!$AG$6:$AG$35,'Zaman'!AA9)),INDEX(Python_girdileri!$Q$6:$Q$35,'Zaman'!AA9)),0)</f>
        <v/>
      </c>
      <c r="AB27" s="18">
        <f>IF('Zaman'!AB13=1,IF(Girdiler!$C$91=1,IF('Zaman'!AB15=1,INDEX(Python_girdileri!$AW$6:$AW$35,'Zaman'!AB9),INDEX(Python_girdileri!$AG$6:$AG$35,'Zaman'!AB9)),INDEX(Python_girdileri!$Q$6:$Q$35,'Zaman'!AB9)),0)</f>
        <v/>
      </c>
      <c r="AC27" s="18">
        <f>IF('Zaman'!AC13=1,IF(Girdiler!$C$91=1,IF('Zaman'!AC15=1,INDEX(Python_girdileri!$AW$6:$AW$35,'Zaman'!AC9),INDEX(Python_girdileri!$AG$6:$AG$35,'Zaman'!AC9)),INDEX(Python_girdileri!$Q$6:$Q$35,'Zaman'!AC9)),0)</f>
        <v/>
      </c>
      <c r="AD27" s="18">
        <f>IF('Zaman'!AD13=1,IF(Girdiler!$C$91=1,IF('Zaman'!AD15=1,INDEX(Python_girdileri!$AW$6:$AW$35,'Zaman'!AD9),INDEX(Python_girdileri!$AG$6:$AG$35,'Zaman'!AD9)),INDEX(Python_girdileri!$Q$6:$Q$35,'Zaman'!AD9)),0)</f>
        <v/>
      </c>
      <c r="AE27" s="18">
        <f>IF('Zaman'!AE13=1,IF(Girdiler!$C$91=1,IF('Zaman'!AE15=1,INDEX(Python_girdileri!$AW$6:$AW$35,'Zaman'!AE9),INDEX(Python_girdileri!$AG$6:$AG$35,'Zaman'!AE9)),INDEX(Python_girdileri!$Q$6:$Q$35,'Zaman'!AE9)),0)</f>
        <v/>
      </c>
      <c r="AF27" s="18">
        <f>IF('Zaman'!AF13=1,IF(Girdiler!$C$91=1,IF('Zaman'!AF15=1,INDEX(Python_girdileri!$AW$6:$AW$35,'Zaman'!AF9),INDEX(Python_girdileri!$AG$6:$AG$35,'Zaman'!AF9)),INDEX(Python_girdileri!$Q$6:$Q$35,'Zaman'!AF9)),0)</f>
        <v/>
      </c>
      <c r="AG27" s="18">
        <f>IF('Zaman'!AG13=1,IF(Girdiler!$C$91=1,IF('Zaman'!AG15=1,INDEX(Python_girdileri!$AW$6:$AW$35,'Zaman'!AG9),INDEX(Python_girdileri!$AG$6:$AG$35,'Zaman'!AG9)),INDEX(Python_girdileri!$Q$6:$Q$35,'Zaman'!AG9)),0)</f>
        <v/>
      </c>
      <c r="AH27" s="18">
        <f>IF('Zaman'!AH13=1,IF(Girdiler!$C$91=1,IF('Zaman'!AH15=1,INDEX(Python_girdileri!$AW$6:$AW$35,'Zaman'!AH9),INDEX(Python_girdileri!$AG$6:$AG$35,'Zaman'!AH9)),INDEX(Python_girdileri!$Q$6:$Q$35,'Zaman'!AH9)),0)</f>
        <v/>
      </c>
      <c r="AI27" s="18">
        <f>IF('Zaman'!AI13=1,IF(Girdiler!$C$91=1,IF('Zaman'!AI15=1,INDEX(Python_girdileri!$AW$6:$AW$35,'Zaman'!AI9),INDEX(Python_girdileri!$AG$6:$AG$35,'Zaman'!AI9)),INDEX(Python_girdileri!$Q$6:$Q$35,'Zaman'!AI9)),0)</f>
        <v/>
      </c>
      <c r="AJ27" s="18">
        <f>IF('Zaman'!AJ13=1,IF(Girdiler!$C$91=1,IF('Zaman'!AJ15=1,INDEX(Python_girdileri!$AW$6:$AW$35,'Zaman'!AJ9),INDEX(Python_girdileri!$AG$6:$AG$35,'Zaman'!AJ9)),INDEX(Python_girdileri!$Q$6:$Q$35,'Zaman'!AJ9)),0)</f>
        <v/>
      </c>
      <c r="AK27" s="18">
        <f>IF('Zaman'!AK13=1,IF(Girdiler!$C$91=1,IF('Zaman'!AK15=1,INDEX(Python_girdileri!$AW$6:$AW$35,'Zaman'!AK9),INDEX(Python_girdileri!$AG$6:$AG$35,'Zaman'!AK9)),INDEX(Python_girdileri!$Q$6:$Q$35,'Zaman'!AK9)),0)</f>
        <v/>
      </c>
      <c r="AL27" s="18">
        <f>IF('Zaman'!AL13=1,IF(Girdiler!$C$91=1,IF('Zaman'!AL15=1,INDEX(Python_girdileri!$AW$6:$AW$35,'Zaman'!AL9),INDEX(Python_girdileri!$AG$6:$AG$35,'Zaman'!AL9)),INDEX(Python_girdileri!$Q$6:$Q$35,'Zaman'!AL9)),0)</f>
        <v/>
      </c>
      <c r="AM27" s="18">
        <f>IF('Zaman'!AM13=1,IF(Girdiler!$C$91=1,IF('Zaman'!AM15=1,INDEX(Python_girdileri!$AW$6:$AW$35,'Zaman'!AM9),INDEX(Python_girdileri!$AG$6:$AG$35,'Zaman'!AM9)),INDEX(Python_girdileri!$Q$6:$Q$35,'Zaman'!AM9)),0)</f>
        <v/>
      </c>
      <c r="AN27" s="18">
        <f>IF('Zaman'!AN13=1,IF(Girdiler!$C$91=1,IF('Zaman'!AN15=1,INDEX(Python_girdileri!$AW$6:$AW$35,'Zaman'!AN9),INDEX(Python_girdileri!$AG$6:$AG$35,'Zaman'!AN9)),INDEX(Python_girdileri!$Q$6:$Q$35,'Zaman'!AN9)),0)</f>
        <v/>
      </c>
      <c r="AO27" s="18">
        <f>IF('Zaman'!AO13=1,IF(Girdiler!$C$91=1,IF('Zaman'!AO15=1,INDEX(Python_girdileri!$AW$6:$AW$35,'Zaman'!AO9),INDEX(Python_girdileri!$AG$6:$AG$35,'Zaman'!AO9)),INDEX(Python_girdileri!$Q$6:$Q$35,'Zaman'!AO9)),0)</f>
        <v/>
      </c>
      <c r="AP27" s="18">
        <f>IF('Zaman'!AP13=1,IF(Girdiler!$C$91=1,IF('Zaman'!AP15=1,INDEX(Python_girdileri!$AW$6:$AW$35,'Zaman'!AP9),INDEX(Python_girdileri!$AG$6:$AG$35,'Zaman'!AP9)),INDEX(Python_girdileri!$Q$6:$Q$35,'Zaman'!AP9)),0)</f>
        <v/>
      </c>
      <c r="AQ27" s="18">
        <f>IF('Zaman'!AQ13=1,IF(Girdiler!$C$91=1,IF('Zaman'!AQ15=1,INDEX(Python_girdileri!$AW$6:$AW$35,'Zaman'!AQ9),INDEX(Python_girdileri!$AG$6:$AG$35,'Zaman'!AQ9)),INDEX(Python_girdileri!$Q$6:$Q$35,'Zaman'!AQ9)),0)</f>
        <v/>
      </c>
      <c r="AR27" s="18">
        <f>IF('Zaman'!AR13=1,IF(Girdiler!$C$91=1,IF('Zaman'!AR15=1,INDEX(Python_girdileri!$AW$6:$AW$35,'Zaman'!AR9),INDEX(Python_girdileri!$AG$6:$AG$35,'Zaman'!AR9)),INDEX(Python_girdileri!$Q$6:$Q$35,'Zaman'!AR9)),0)</f>
        <v/>
      </c>
    </row>
    <row r="28">
      <c r="A28" t="inlineStr">
        <is>
          <t>rezerv</t>
        </is>
      </c>
      <c r="B28" t="inlineStr">
        <is>
          <t>MWh</t>
        </is>
      </c>
      <c r="C28" t="inlineStr">
        <is>
          <t>Python_girdileri (rejim: katılıma göre Y1/Y0, aksi T)</t>
        </is>
      </c>
      <c r="D28" s="18">
        <f>SUM(F28:AR28)</f>
        <v/>
      </c>
      <c r="E28" s="18" t="n">
        <v>0</v>
      </c>
      <c r="F28" s="18">
        <f>IF('Zaman'!F13=1,IF(Girdiler!$C$91=1,IF('Zaman'!F15=1,INDEX(Python_girdileri!$AX$6:$AX$35,'Zaman'!F9),INDEX(Python_girdileri!$AH$6:$AH$35,'Zaman'!F9)),INDEX(Python_girdileri!$R$6:$R$35,'Zaman'!F9)),0)</f>
        <v/>
      </c>
      <c r="G28" s="18">
        <f>IF('Zaman'!G13=1,IF(Girdiler!$C$91=1,IF('Zaman'!G15=1,INDEX(Python_girdileri!$AX$6:$AX$35,'Zaman'!G9),INDEX(Python_girdileri!$AH$6:$AH$35,'Zaman'!G9)),INDEX(Python_girdileri!$R$6:$R$35,'Zaman'!G9)),0)</f>
        <v/>
      </c>
      <c r="H28" s="18">
        <f>IF('Zaman'!H13=1,IF(Girdiler!$C$91=1,IF('Zaman'!H15=1,INDEX(Python_girdileri!$AX$6:$AX$35,'Zaman'!H9),INDEX(Python_girdileri!$AH$6:$AH$35,'Zaman'!H9)),INDEX(Python_girdileri!$R$6:$R$35,'Zaman'!H9)),0)</f>
        <v/>
      </c>
      <c r="I28" s="18">
        <f>IF('Zaman'!I13=1,IF(Girdiler!$C$91=1,IF('Zaman'!I15=1,INDEX(Python_girdileri!$AX$6:$AX$35,'Zaman'!I9),INDEX(Python_girdileri!$AH$6:$AH$35,'Zaman'!I9)),INDEX(Python_girdileri!$R$6:$R$35,'Zaman'!I9)),0)</f>
        <v/>
      </c>
      <c r="J28" s="18">
        <f>IF('Zaman'!J13=1,IF(Girdiler!$C$91=1,IF('Zaman'!J15=1,INDEX(Python_girdileri!$AX$6:$AX$35,'Zaman'!J9),INDEX(Python_girdileri!$AH$6:$AH$35,'Zaman'!J9)),INDEX(Python_girdileri!$R$6:$R$35,'Zaman'!J9)),0)</f>
        <v/>
      </c>
      <c r="K28" s="18">
        <f>IF('Zaman'!K13=1,IF(Girdiler!$C$91=1,IF('Zaman'!K15=1,INDEX(Python_girdileri!$AX$6:$AX$35,'Zaman'!K9),INDEX(Python_girdileri!$AH$6:$AH$35,'Zaman'!K9)),INDEX(Python_girdileri!$R$6:$R$35,'Zaman'!K9)),0)</f>
        <v/>
      </c>
      <c r="L28" s="18">
        <f>IF('Zaman'!L13=1,IF(Girdiler!$C$91=1,IF('Zaman'!L15=1,INDEX(Python_girdileri!$AX$6:$AX$35,'Zaman'!L9),INDEX(Python_girdileri!$AH$6:$AH$35,'Zaman'!L9)),INDEX(Python_girdileri!$R$6:$R$35,'Zaman'!L9)),0)</f>
        <v/>
      </c>
      <c r="M28" s="18">
        <f>IF('Zaman'!M13=1,IF(Girdiler!$C$91=1,IF('Zaman'!M15=1,INDEX(Python_girdileri!$AX$6:$AX$35,'Zaman'!M9),INDEX(Python_girdileri!$AH$6:$AH$35,'Zaman'!M9)),INDEX(Python_girdileri!$R$6:$R$35,'Zaman'!M9)),0)</f>
        <v/>
      </c>
      <c r="N28" s="18">
        <f>IF('Zaman'!N13=1,IF(Girdiler!$C$91=1,IF('Zaman'!N15=1,INDEX(Python_girdileri!$AX$6:$AX$35,'Zaman'!N9),INDEX(Python_girdileri!$AH$6:$AH$35,'Zaman'!N9)),INDEX(Python_girdileri!$R$6:$R$35,'Zaman'!N9)),0)</f>
        <v/>
      </c>
      <c r="O28" s="18">
        <f>IF('Zaman'!O13=1,IF(Girdiler!$C$91=1,IF('Zaman'!O15=1,INDEX(Python_girdileri!$AX$6:$AX$35,'Zaman'!O9),INDEX(Python_girdileri!$AH$6:$AH$35,'Zaman'!O9)),INDEX(Python_girdileri!$R$6:$R$35,'Zaman'!O9)),0)</f>
        <v/>
      </c>
      <c r="P28" s="18">
        <f>IF('Zaman'!P13=1,IF(Girdiler!$C$91=1,IF('Zaman'!P15=1,INDEX(Python_girdileri!$AX$6:$AX$35,'Zaman'!P9),INDEX(Python_girdileri!$AH$6:$AH$35,'Zaman'!P9)),INDEX(Python_girdileri!$R$6:$R$35,'Zaman'!P9)),0)</f>
        <v/>
      </c>
      <c r="Q28" s="18">
        <f>IF('Zaman'!Q13=1,IF(Girdiler!$C$91=1,IF('Zaman'!Q15=1,INDEX(Python_girdileri!$AX$6:$AX$35,'Zaman'!Q9),INDEX(Python_girdileri!$AH$6:$AH$35,'Zaman'!Q9)),INDEX(Python_girdileri!$R$6:$R$35,'Zaman'!Q9)),0)</f>
        <v/>
      </c>
      <c r="R28" s="18">
        <f>IF('Zaman'!R13=1,IF(Girdiler!$C$91=1,IF('Zaman'!R15=1,INDEX(Python_girdileri!$AX$6:$AX$35,'Zaman'!R9),INDEX(Python_girdileri!$AH$6:$AH$35,'Zaman'!R9)),INDEX(Python_girdileri!$R$6:$R$35,'Zaman'!R9)),0)</f>
        <v/>
      </c>
      <c r="S28" s="18">
        <f>IF('Zaman'!S13=1,IF(Girdiler!$C$91=1,IF('Zaman'!S15=1,INDEX(Python_girdileri!$AX$6:$AX$35,'Zaman'!S9),INDEX(Python_girdileri!$AH$6:$AH$35,'Zaman'!S9)),INDEX(Python_girdileri!$R$6:$R$35,'Zaman'!S9)),0)</f>
        <v/>
      </c>
      <c r="T28" s="18">
        <f>IF('Zaman'!T13=1,IF(Girdiler!$C$91=1,IF('Zaman'!T15=1,INDEX(Python_girdileri!$AX$6:$AX$35,'Zaman'!T9),INDEX(Python_girdileri!$AH$6:$AH$35,'Zaman'!T9)),INDEX(Python_girdileri!$R$6:$R$35,'Zaman'!T9)),0)</f>
        <v/>
      </c>
      <c r="U28" s="18">
        <f>IF('Zaman'!U13=1,IF(Girdiler!$C$91=1,IF('Zaman'!U15=1,INDEX(Python_girdileri!$AX$6:$AX$35,'Zaman'!U9),INDEX(Python_girdileri!$AH$6:$AH$35,'Zaman'!U9)),INDEX(Python_girdileri!$R$6:$R$35,'Zaman'!U9)),0)</f>
        <v/>
      </c>
      <c r="V28" s="18">
        <f>IF('Zaman'!V13=1,IF(Girdiler!$C$91=1,IF('Zaman'!V15=1,INDEX(Python_girdileri!$AX$6:$AX$35,'Zaman'!V9),INDEX(Python_girdileri!$AH$6:$AH$35,'Zaman'!V9)),INDEX(Python_girdileri!$R$6:$R$35,'Zaman'!V9)),0)</f>
        <v/>
      </c>
      <c r="W28" s="18">
        <f>IF('Zaman'!W13=1,IF(Girdiler!$C$91=1,IF('Zaman'!W15=1,INDEX(Python_girdileri!$AX$6:$AX$35,'Zaman'!W9),INDEX(Python_girdileri!$AH$6:$AH$35,'Zaman'!W9)),INDEX(Python_girdileri!$R$6:$R$35,'Zaman'!W9)),0)</f>
        <v/>
      </c>
      <c r="X28" s="18">
        <f>IF('Zaman'!X13=1,IF(Girdiler!$C$91=1,IF('Zaman'!X15=1,INDEX(Python_girdileri!$AX$6:$AX$35,'Zaman'!X9),INDEX(Python_girdileri!$AH$6:$AH$35,'Zaman'!X9)),INDEX(Python_girdileri!$R$6:$R$35,'Zaman'!X9)),0)</f>
        <v/>
      </c>
      <c r="Y28" s="18">
        <f>IF('Zaman'!Y13=1,IF(Girdiler!$C$91=1,IF('Zaman'!Y15=1,INDEX(Python_girdileri!$AX$6:$AX$35,'Zaman'!Y9),INDEX(Python_girdileri!$AH$6:$AH$35,'Zaman'!Y9)),INDEX(Python_girdileri!$R$6:$R$35,'Zaman'!Y9)),0)</f>
        <v/>
      </c>
      <c r="Z28" s="18">
        <f>IF('Zaman'!Z13=1,IF(Girdiler!$C$91=1,IF('Zaman'!Z15=1,INDEX(Python_girdileri!$AX$6:$AX$35,'Zaman'!Z9),INDEX(Python_girdileri!$AH$6:$AH$35,'Zaman'!Z9)),INDEX(Python_girdileri!$R$6:$R$35,'Zaman'!Z9)),0)</f>
        <v/>
      </c>
      <c r="AA28" s="18">
        <f>IF('Zaman'!AA13=1,IF(Girdiler!$C$91=1,IF('Zaman'!AA15=1,INDEX(Python_girdileri!$AX$6:$AX$35,'Zaman'!AA9),INDEX(Python_girdileri!$AH$6:$AH$35,'Zaman'!AA9)),INDEX(Python_girdileri!$R$6:$R$35,'Zaman'!AA9)),0)</f>
        <v/>
      </c>
      <c r="AB28" s="18">
        <f>IF('Zaman'!AB13=1,IF(Girdiler!$C$91=1,IF('Zaman'!AB15=1,INDEX(Python_girdileri!$AX$6:$AX$35,'Zaman'!AB9),INDEX(Python_girdileri!$AH$6:$AH$35,'Zaman'!AB9)),INDEX(Python_girdileri!$R$6:$R$35,'Zaman'!AB9)),0)</f>
        <v/>
      </c>
      <c r="AC28" s="18">
        <f>IF('Zaman'!AC13=1,IF(Girdiler!$C$91=1,IF('Zaman'!AC15=1,INDEX(Python_girdileri!$AX$6:$AX$35,'Zaman'!AC9),INDEX(Python_girdileri!$AH$6:$AH$35,'Zaman'!AC9)),INDEX(Python_girdileri!$R$6:$R$35,'Zaman'!AC9)),0)</f>
        <v/>
      </c>
      <c r="AD28" s="18">
        <f>IF('Zaman'!AD13=1,IF(Girdiler!$C$91=1,IF('Zaman'!AD15=1,INDEX(Python_girdileri!$AX$6:$AX$35,'Zaman'!AD9),INDEX(Python_girdileri!$AH$6:$AH$35,'Zaman'!AD9)),INDEX(Python_girdileri!$R$6:$R$35,'Zaman'!AD9)),0)</f>
        <v/>
      </c>
      <c r="AE28" s="18">
        <f>IF('Zaman'!AE13=1,IF(Girdiler!$C$91=1,IF('Zaman'!AE15=1,INDEX(Python_girdileri!$AX$6:$AX$35,'Zaman'!AE9),INDEX(Python_girdileri!$AH$6:$AH$35,'Zaman'!AE9)),INDEX(Python_girdileri!$R$6:$R$35,'Zaman'!AE9)),0)</f>
        <v/>
      </c>
      <c r="AF28" s="18">
        <f>IF('Zaman'!AF13=1,IF(Girdiler!$C$91=1,IF('Zaman'!AF15=1,INDEX(Python_girdileri!$AX$6:$AX$35,'Zaman'!AF9),INDEX(Python_girdileri!$AH$6:$AH$35,'Zaman'!AF9)),INDEX(Python_girdileri!$R$6:$R$35,'Zaman'!AF9)),0)</f>
        <v/>
      </c>
      <c r="AG28" s="18">
        <f>IF('Zaman'!AG13=1,IF(Girdiler!$C$91=1,IF('Zaman'!AG15=1,INDEX(Python_girdileri!$AX$6:$AX$35,'Zaman'!AG9),INDEX(Python_girdileri!$AH$6:$AH$35,'Zaman'!AG9)),INDEX(Python_girdileri!$R$6:$R$35,'Zaman'!AG9)),0)</f>
        <v/>
      </c>
      <c r="AH28" s="18">
        <f>IF('Zaman'!AH13=1,IF(Girdiler!$C$91=1,IF('Zaman'!AH15=1,INDEX(Python_girdileri!$AX$6:$AX$35,'Zaman'!AH9),INDEX(Python_girdileri!$AH$6:$AH$35,'Zaman'!AH9)),INDEX(Python_girdileri!$R$6:$R$35,'Zaman'!AH9)),0)</f>
        <v/>
      </c>
      <c r="AI28" s="18">
        <f>IF('Zaman'!AI13=1,IF(Girdiler!$C$91=1,IF('Zaman'!AI15=1,INDEX(Python_girdileri!$AX$6:$AX$35,'Zaman'!AI9),INDEX(Python_girdileri!$AH$6:$AH$35,'Zaman'!AI9)),INDEX(Python_girdileri!$R$6:$R$35,'Zaman'!AI9)),0)</f>
        <v/>
      </c>
      <c r="AJ28" s="18">
        <f>IF('Zaman'!AJ13=1,IF(Girdiler!$C$91=1,IF('Zaman'!AJ15=1,INDEX(Python_girdileri!$AX$6:$AX$35,'Zaman'!AJ9),INDEX(Python_girdileri!$AH$6:$AH$35,'Zaman'!AJ9)),INDEX(Python_girdileri!$R$6:$R$35,'Zaman'!AJ9)),0)</f>
        <v/>
      </c>
      <c r="AK28" s="18">
        <f>IF('Zaman'!AK13=1,IF(Girdiler!$C$91=1,IF('Zaman'!AK15=1,INDEX(Python_girdileri!$AX$6:$AX$35,'Zaman'!AK9),INDEX(Python_girdileri!$AH$6:$AH$35,'Zaman'!AK9)),INDEX(Python_girdileri!$R$6:$R$35,'Zaman'!AK9)),0)</f>
        <v/>
      </c>
      <c r="AL28" s="18">
        <f>IF('Zaman'!AL13=1,IF(Girdiler!$C$91=1,IF('Zaman'!AL15=1,INDEX(Python_girdileri!$AX$6:$AX$35,'Zaman'!AL9),INDEX(Python_girdileri!$AH$6:$AH$35,'Zaman'!AL9)),INDEX(Python_girdileri!$R$6:$R$35,'Zaman'!AL9)),0)</f>
        <v/>
      </c>
      <c r="AM28" s="18">
        <f>IF('Zaman'!AM13=1,IF(Girdiler!$C$91=1,IF('Zaman'!AM15=1,INDEX(Python_girdileri!$AX$6:$AX$35,'Zaman'!AM9),INDEX(Python_girdileri!$AH$6:$AH$35,'Zaman'!AM9)),INDEX(Python_girdileri!$R$6:$R$35,'Zaman'!AM9)),0)</f>
        <v/>
      </c>
      <c r="AN28" s="18">
        <f>IF('Zaman'!AN13=1,IF(Girdiler!$C$91=1,IF('Zaman'!AN15=1,INDEX(Python_girdileri!$AX$6:$AX$35,'Zaman'!AN9),INDEX(Python_girdileri!$AH$6:$AH$35,'Zaman'!AN9)),INDEX(Python_girdileri!$R$6:$R$35,'Zaman'!AN9)),0)</f>
        <v/>
      </c>
      <c r="AO28" s="18">
        <f>IF('Zaman'!AO13=1,IF(Girdiler!$C$91=1,IF('Zaman'!AO15=1,INDEX(Python_girdileri!$AX$6:$AX$35,'Zaman'!AO9),INDEX(Python_girdileri!$AH$6:$AH$35,'Zaman'!AO9)),INDEX(Python_girdileri!$R$6:$R$35,'Zaman'!AO9)),0)</f>
        <v/>
      </c>
      <c r="AP28" s="18">
        <f>IF('Zaman'!AP13=1,IF(Girdiler!$C$91=1,IF('Zaman'!AP15=1,INDEX(Python_girdileri!$AX$6:$AX$35,'Zaman'!AP9),INDEX(Python_girdileri!$AH$6:$AH$35,'Zaman'!AP9)),INDEX(Python_girdileri!$R$6:$R$35,'Zaman'!AP9)),0)</f>
        <v/>
      </c>
      <c r="AQ28" s="18">
        <f>IF('Zaman'!AQ13=1,IF(Girdiler!$C$91=1,IF('Zaman'!AQ15=1,INDEX(Python_girdileri!$AX$6:$AX$35,'Zaman'!AQ9),INDEX(Python_girdileri!$AH$6:$AH$35,'Zaman'!AQ9)),INDEX(Python_girdileri!$R$6:$R$35,'Zaman'!AQ9)),0)</f>
        <v/>
      </c>
      <c r="AR28" s="18">
        <f>IF('Zaman'!AR13=1,IF(Girdiler!$C$91=1,IF('Zaman'!AR15=1,INDEX(Python_girdileri!$AX$6:$AX$35,'Zaman'!AR9),INDEX(Python_girdileri!$AH$6:$AH$35,'Zaman'!AR9)),INDEX(Python_girdileri!$R$6:$R$35,'Zaman'!AR9)),0)</f>
        <v/>
      </c>
    </row>
    <row r="29">
      <c r="A29" t="inlineStr">
        <is>
          <t>E_k</t>
        </is>
      </c>
      <c r="B29" t="inlineStr">
        <is>
          <t>MWh</t>
        </is>
      </c>
      <c r="C29" t="inlineStr">
        <is>
          <t>Python_girdileri (rejim: katılıma göre Y1/Y0, aksi T)</t>
        </is>
      </c>
      <c r="D29" s="18">
        <f>SUM(F29:AR29)</f>
        <v/>
      </c>
      <c r="E29" s="18" t="n">
        <v>0</v>
      </c>
      <c r="F29" s="18">
        <f>IF('Zaman'!F13=1,IF(Girdiler!$C$91=1,IF('Zaman'!F15=1,INDEX(Python_girdileri!$AY$6:$AY$35,'Zaman'!F9),INDEX(Python_girdileri!$AI$6:$AI$35,'Zaman'!F9)),INDEX(Python_girdileri!$S$6:$S$35,'Zaman'!F9)),0)</f>
        <v/>
      </c>
      <c r="G29" s="18">
        <f>IF('Zaman'!G13=1,IF(Girdiler!$C$91=1,IF('Zaman'!G15=1,INDEX(Python_girdileri!$AY$6:$AY$35,'Zaman'!G9),INDEX(Python_girdileri!$AI$6:$AI$35,'Zaman'!G9)),INDEX(Python_girdileri!$S$6:$S$35,'Zaman'!G9)),0)</f>
        <v/>
      </c>
      <c r="H29" s="18">
        <f>IF('Zaman'!H13=1,IF(Girdiler!$C$91=1,IF('Zaman'!H15=1,INDEX(Python_girdileri!$AY$6:$AY$35,'Zaman'!H9),INDEX(Python_girdileri!$AI$6:$AI$35,'Zaman'!H9)),INDEX(Python_girdileri!$S$6:$S$35,'Zaman'!H9)),0)</f>
        <v/>
      </c>
      <c r="I29" s="18">
        <f>IF('Zaman'!I13=1,IF(Girdiler!$C$91=1,IF('Zaman'!I15=1,INDEX(Python_girdileri!$AY$6:$AY$35,'Zaman'!I9),INDEX(Python_girdileri!$AI$6:$AI$35,'Zaman'!I9)),INDEX(Python_girdileri!$S$6:$S$35,'Zaman'!I9)),0)</f>
        <v/>
      </c>
      <c r="J29" s="18">
        <f>IF('Zaman'!J13=1,IF(Girdiler!$C$91=1,IF('Zaman'!J15=1,INDEX(Python_girdileri!$AY$6:$AY$35,'Zaman'!J9),INDEX(Python_girdileri!$AI$6:$AI$35,'Zaman'!J9)),INDEX(Python_girdileri!$S$6:$S$35,'Zaman'!J9)),0)</f>
        <v/>
      </c>
      <c r="K29" s="18">
        <f>IF('Zaman'!K13=1,IF(Girdiler!$C$91=1,IF('Zaman'!K15=1,INDEX(Python_girdileri!$AY$6:$AY$35,'Zaman'!K9),INDEX(Python_girdileri!$AI$6:$AI$35,'Zaman'!K9)),INDEX(Python_girdileri!$S$6:$S$35,'Zaman'!K9)),0)</f>
        <v/>
      </c>
      <c r="L29" s="18">
        <f>IF('Zaman'!L13=1,IF(Girdiler!$C$91=1,IF('Zaman'!L15=1,INDEX(Python_girdileri!$AY$6:$AY$35,'Zaman'!L9),INDEX(Python_girdileri!$AI$6:$AI$35,'Zaman'!L9)),INDEX(Python_girdileri!$S$6:$S$35,'Zaman'!L9)),0)</f>
        <v/>
      </c>
      <c r="M29" s="18">
        <f>IF('Zaman'!M13=1,IF(Girdiler!$C$91=1,IF('Zaman'!M15=1,INDEX(Python_girdileri!$AY$6:$AY$35,'Zaman'!M9),INDEX(Python_girdileri!$AI$6:$AI$35,'Zaman'!M9)),INDEX(Python_girdileri!$S$6:$S$35,'Zaman'!M9)),0)</f>
        <v/>
      </c>
      <c r="N29" s="18">
        <f>IF('Zaman'!N13=1,IF(Girdiler!$C$91=1,IF('Zaman'!N15=1,INDEX(Python_girdileri!$AY$6:$AY$35,'Zaman'!N9),INDEX(Python_girdileri!$AI$6:$AI$35,'Zaman'!N9)),INDEX(Python_girdileri!$S$6:$S$35,'Zaman'!N9)),0)</f>
        <v/>
      </c>
      <c r="O29" s="18">
        <f>IF('Zaman'!O13=1,IF(Girdiler!$C$91=1,IF('Zaman'!O15=1,INDEX(Python_girdileri!$AY$6:$AY$35,'Zaman'!O9),INDEX(Python_girdileri!$AI$6:$AI$35,'Zaman'!O9)),INDEX(Python_girdileri!$S$6:$S$35,'Zaman'!O9)),0)</f>
        <v/>
      </c>
      <c r="P29" s="18">
        <f>IF('Zaman'!P13=1,IF(Girdiler!$C$91=1,IF('Zaman'!P15=1,INDEX(Python_girdileri!$AY$6:$AY$35,'Zaman'!P9),INDEX(Python_girdileri!$AI$6:$AI$35,'Zaman'!P9)),INDEX(Python_girdileri!$S$6:$S$35,'Zaman'!P9)),0)</f>
        <v/>
      </c>
      <c r="Q29" s="18">
        <f>IF('Zaman'!Q13=1,IF(Girdiler!$C$91=1,IF('Zaman'!Q15=1,INDEX(Python_girdileri!$AY$6:$AY$35,'Zaman'!Q9),INDEX(Python_girdileri!$AI$6:$AI$35,'Zaman'!Q9)),INDEX(Python_girdileri!$S$6:$S$35,'Zaman'!Q9)),0)</f>
        <v/>
      </c>
      <c r="R29" s="18">
        <f>IF('Zaman'!R13=1,IF(Girdiler!$C$91=1,IF('Zaman'!R15=1,INDEX(Python_girdileri!$AY$6:$AY$35,'Zaman'!R9),INDEX(Python_girdileri!$AI$6:$AI$35,'Zaman'!R9)),INDEX(Python_girdileri!$S$6:$S$35,'Zaman'!R9)),0)</f>
        <v/>
      </c>
      <c r="S29" s="18">
        <f>IF('Zaman'!S13=1,IF(Girdiler!$C$91=1,IF('Zaman'!S15=1,INDEX(Python_girdileri!$AY$6:$AY$35,'Zaman'!S9),INDEX(Python_girdileri!$AI$6:$AI$35,'Zaman'!S9)),INDEX(Python_girdileri!$S$6:$S$35,'Zaman'!S9)),0)</f>
        <v/>
      </c>
      <c r="T29" s="18">
        <f>IF('Zaman'!T13=1,IF(Girdiler!$C$91=1,IF('Zaman'!T15=1,INDEX(Python_girdileri!$AY$6:$AY$35,'Zaman'!T9),INDEX(Python_girdileri!$AI$6:$AI$35,'Zaman'!T9)),INDEX(Python_girdileri!$S$6:$S$35,'Zaman'!T9)),0)</f>
        <v/>
      </c>
      <c r="U29" s="18">
        <f>IF('Zaman'!U13=1,IF(Girdiler!$C$91=1,IF('Zaman'!U15=1,INDEX(Python_girdileri!$AY$6:$AY$35,'Zaman'!U9),INDEX(Python_girdileri!$AI$6:$AI$35,'Zaman'!U9)),INDEX(Python_girdileri!$S$6:$S$35,'Zaman'!U9)),0)</f>
        <v/>
      </c>
      <c r="V29" s="18">
        <f>IF('Zaman'!V13=1,IF(Girdiler!$C$91=1,IF('Zaman'!V15=1,INDEX(Python_girdileri!$AY$6:$AY$35,'Zaman'!V9),INDEX(Python_girdileri!$AI$6:$AI$35,'Zaman'!V9)),INDEX(Python_girdileri!$S$6:$S$35,'Zaman'!V9)),0)</f>
        <v/>
      </c>
      <c r="W29" s="18">
        <f>IF('Zaman'!W13=1,IF(Girdiler!$C$91=1,IF('Zaman'!W15=1,INDEX(Python_girdileri!$AY$6:$AY$35,'Zaman'!W9),INDEX(Python_girdileri!$AI$6:$AI$35,'Zaman'!W9)),INDEX(Python_girdileri!$S$6:$S$35,'Zaman'!W9)),0)</f>
        <v/>
      </c>
      <c r="X29" s="18">
        <f>IF('Zaman'!X13=1,IF(Girdiler!$C$91=1,IF('Zaman'!X15=1,INDEX(Python_girdileri!$AY$6:$AY$35,'Zaman'!X9),INDEX(Python_girdileri!$AI$6:$AI$35,'Zaman'!X9)),INDEX(Python_girdileri!$S$6:$S$35,'Zaman'!X9)),0)</f>
        <v/>
      </c>
      <c r="Y29" s="18">
        <f>IF('Zaman'!Y13=1,IF(Girdiler!$C$91=1,IF('Zaman'!Y15=1,INDEX(Python_girdileri!$AY$6:$AY$35,'Zaman'!Y9),INDEX(Python_girdileri!$AI$6:$AI$35,'Zaman'!Y9)),INDEX(Python_girdileri!$S$6:$S$35,'Zaman'!Y9)),0)</f>
        <v/>
      </c>
      <c r="Z29" s="18">
        <f>IF('Zaman'!Z13=1,IF(Girdiler!$C$91=1,IF('Zaman'!Z15=1,INDEX(Python_girdileri!$AY$6:$AY$35,'Zaman'!Z9),INDEX(Python_girdileri!$AI$6:$AI$35,'Zaman'!Z9)),INDEX(Python_girdileri!$S$6:$S$35,'Zaman'!Z9)),0)</f>
        <v/>
      </c>
      <c r="AA29" s="18">
        <f>IF('Zaman'!AA13=1,IF(Girdiler!$C$91=1,IF('Zaman'!AA15=1,INDEX(Python_girdileri!$AY$6:$AY$35,'Zaman'!AA9),INDEX(Python_girdileri!$AI$6:$AI$35,'Zaman'!AA9)),INDEX(Python_girdileri!$S$6:$S$35,'Zaman'!AA9)),0)</f>
        <v/>
      </c>
      <c r="AB29" s="18">
        <f>IF('Zaman'!AB13=1,IF(Girdiler!$C$91=1,IF('Zaman'!AB15=1,INDEX(Python_girdileri!$AY$6:$AY$35,'Zaman'!AB9),INDEX(Python_girdileri!$AI$6:$AI$35,'Zaman'!AB9)),INDEX(Python_girdileri!$S$6:$S$35,'Zaman'!AB9)),0)</f>
        <v/>
      </c>
      <c r="AC29" s="18">
        <f>IF('Zaman'!AC13=1,IF(Girdiler!$C$91=1,IF('Zaman'!AC15=1,INDEX(Python_girdileri!$AY$6:$AY$35,'Zaman'!AC9),INDEX(Python_girdileri!$AI$6:$AI$35,'Zaman'!AC9)),INDEX(Python_girdileri!$S$6:$S$35,'Zaman'!AC9)),0)</f>
        <v/>
      </c>
      <c r="AD29" s="18">
        <f>IF('Zaman'!AD13=1,IF(Girdiler!$C$91=1,IF('Zaman'!AD15=1,INDEX(Python_girdileri!$AY$6:$AY$35,'Zaman'!AD9),INDEX(Python_girdileri!$AI$6:$AI$35,'Zaman'!AD9)),INDEX(Python_girdileri!$S$6:$S$35,'Zaman'!AD9)),0)</f>
        <v/>
      </c>
      <c r="AE29" s="18">
        <f>IF('Zaman'!AE13=1,IF(Girdiler!$C$91=1,IF('Zaman'!AE15=1,INDEX(Python_girdileri!$AY$6:$AY$35,'Zaman'!AE9),INDEX(Python_girdileri!$AI$6:$AI$35,'Zaman'!AE9)),INDEX(Python_girdileri!$S$6:$S$35,'Zaman'!AE9)),0)</f>
        <v/>
      </c>
      <c r="AF29" s="18">
        <f>IF('Zaman'!AF13=1,IF(Girdiler!$C$91=1,IF('Zaman'!AF15=1,INDEX(Python_girdileri!$AY$6:$AY$35,'Zaman'!AF9),INDEX(Python_girdileri!$AI$6:$AI$35,'Zaman'!AF9)),INDEX(Python_girdileri!$S$6:$S$35,'Zaman'!AF9)),0)</f>
        <v/>
      </c>
      <c r="AG29" s="18">
        <f>IF('Zaman'!AG13=1,IF(Girdiler!$C$91=1,IF('Zaman'!AG15=1,INDEX(Python_girdileri!$AY$6:$AY$35,'Zaman'!AG9),INDEX(Python_girdileri!$AI$6:$AI$35,'Zaman'!AG9)),INDEX(Python_girdileri!$S$6:$S$35,'Zaman'!AG9)),0)</f>
        <v/>
      </c>
      <c r="AH29" s="18">
        <f>IF('Zaman'!AH13=1,IF(Girdiler!$C$91=1,IF('Zaman'!AH15=1,INDEX(Python_girdileri!$AY$6:$AY$35,'Zaman'!AH9),INDEX(Python_girdileri!$AI$6:$AI$35,'Zaman'!AH9)),INDEX(Python_girdileri!$S$6:$S$35,'Zaman'!AH9)),0)</f>
        <v/>
      </c>
      <c r="AI29" s="18">
        <f>IF('Zaman'!AI13=1,IF(Girdiler!$C$91=1,IF('Zaman'!AI15=1,INDEX(Python_girdileri!$AY$6:$AY$35,'Zaman'!AI9),INDEX(Python_girdileri!$AI$6:$AI$35,'Zaman'!AI9)),INDEX(Python_girdileri!$S$6:$S$35,'Zaman'!AI9)),0)</f>
        <v/>
      </c>
      <c r="AJ29" s="18">
        <f>IF('Zaman'!AJ13=1,IF(Girdiler!$C$91=1,IF('Zaman'!AJ15=1,INDEX(Python_girdileri!$AY$6:$AY$35,'Zaman'!AJ9),INDEX(Python_girdileri!$AI$6:$AI$35,'Zaman'!AJ9)),INDEX(Python_girdileri!$S$6:$S$35,'Zaman'!AJ9)),0)</f>
        <v/>
      </c>
      <c r="AK29" s="18">
        <f>IF('Zaman'!AK13=1,IF(Girdiler!$C$91=1,IF('Zaman'!AK15=1,INDEX(Python_girdileri!$AY$6:$AY$35,'Zaman'!AK9),INDEX(Python_girdileri!$AI$6:$AI$35,'Zaman'!AK9)),INDEX(Python_girdileri!$S$6:$S$35,'Zaman'!AK9)),0)</f>
        <v/>
      </c>
      <c r="AL29" s="18">
        <f>IF('Zaman'!AL13=1,IF(Girdiler!$C$91=1,IF('Zaman'!AL15=1,INDEX(Python_girdileri!$AY$6:$AY$35,'Zaman'!AL9),INDEX(Python_girdileri!$AI$6:$AI$35,'Zaman'!AL9)),INDEX(Python_girdileri!$S$6:$S$35,'Zaman'!AL9)),0)</f>
        <v/>
      </c>
      <c r="AM29" s="18">
        <f>IF('Zaman'!AM13=1,IF(Girdiler!$C$91=1,IF('Zaman'!AM15=1,INDEX(Python_girdileri!$AY$6:$AY$35,'Zaman'!AM9),INDEX(Python_girdileri!$AI$6:$AI$35,'Zaman'!AM9)),INDEX(Python_girdileri!$S$6:$S$35,'Zaman'!AM9)),0)</f>
        <v/>
      </c>
      <c r="AN29" s="18">
        <f>IF('Zaman'!AN13=1,IF(Girdiler!$C$91=1,IF('Zaman'!AN15=1,INDEX(Python_girdileri!$AY$6:$AY$35,'Zaman'!AN9),INDEX(Python_girdileri!$AI$6:$AI$35,'Zaman'!AN9)),INDEX(Python_girdileri!$S$6:$S$35,'Zaman'!AN9)),0)</f>
        <v/>
      </c>
      <c r="AO29" s="18">
        <f>IF('Zaman'!AO13=1,IF(Girdiler!$C$91=1,IF('Zaman'!AO15=1,INDEX(Python_girdileri!$AY$6:$AY$35,'Zaman'!AO9),INDEX(Python_girdileri!$AI$6:$AI$35,'Zaman'!AO9)),INDEX(Python_girdileri!$S$6:$S$35,'Zaman'!AO9)),0)</f>
        <v/>
      </c>
      <c r="AP29" s="18">
        <f>IF('Zaman'!AP13=1,IF(Girdiler!$C$91=1,IF('Zaman'!AP15=1,INDEX(Python_girdileri!$AY$6:$AY$35,'Zaman'!AP9),INDEX(Python_girdileri!$AI$6:$AI$35,'Zaman'!AP9)),INDEX(Python_girdileri!$S$6:$S$35,'Zaman'!AP9)),0)</f>
        <v/>
      </c>
      <c r="AQ29" s="18">
        <f>IF('Zaman'!AQ13=1,IF(Girdiler!$C$91=1,IF('Zaman'!AQ15=1,INDEX(Python_girdileri!$AY$6:$AY$35,'Zaman'!AQ9),INDEX(Python_girdileri!$AI$6:$AI$35,'Zaman'!AQ9)),INDEX(Python_girdileri!$S$6:$S$35,'Zaman'!AQ9)),0)</f>
        <v/>
      </c>
      <c r="AR29" s="18">
        <f>IF('Zaman'!AR13=1,IF(Girdiler!$C$91=1,IF('Zaman'!AR15=1,INDEX(Python_girdileri!$AY$6:$AY$35,'Zaman'!AR9),INDEX(Python_girdileri!$AI$6:$AI$35,'Zaman'!AR9)),INDEX(Python_girdileri!$S$6:$S$35,'Zaman'!AR9)),0)</f>
        <v/>
      </c>
    </row>
    <row r="30">
      <c r="A30" t="inlineStr">
        <is>
          <t>E_A</t>
        </is>
      </c>
      <c r="B30" t="inlineStr">
        <is>
          <t>MWh</t>
        </is>
      </c>
      <c r="C30" t="inlineStr">
        <is>
          <t>Python_girdileri (rejim: katılıma göre Y1/Y0, aksi T)</t>
        </is>
      </c>
      <c r="D30" s="18">
        <f>SUM(F30:AR30)</f>
        <v/>
      </c>
      <c r="E30" s="18" t="n">
        <v>0</v>
      </c>
      <c r="F30" s="18">
        <f>IF('Zaman'!F13=1,IF(Girdiler!$C$91=1,IF('Zaman'!F15=1,INDEX(Python_girdileri!$AZ$6:$AZ$35,'Zaman'!F9),INDEX(Python_girdileri!$AJ$6:$AJ$35,'Zaman'!F9)),INDEX(Python_girdileri!$T$6:$T$35,'Zaman'!F9)),0)</f>
        <v/>
      </c>
      <c r="G30" s="18">
        <f>IF('Zaman'!G13=1,IF(Girdiler!$C$91=1,IF('Zaman'!G15=1,INDEX(Python_girdileri!$AZ$6:$AZ$35,'Zaman'!G9),INDEX(Python_girdileri!$AJ$6:$AJ$35,'Zaman'!G9)),INDEX(Python_girdileri!$T$6:$T$35,'Zaman'!G9)),0)</f>
        <v/>
      </c>
      <c r="H30" s="18">
        <f>IF('Zaman'!H13=1,IF(Girdiler!$C$91=1,IF('Zaman'!H15=1,INDEX(Python_girdileri!$AZ$6:$AZ$35,'Zaman'!H9),INDEX(Python_girdileri!$AJ$6:$AJ$35,'Zaman'!H9)),INDEX(Python_girdileri!$T$6:$T$35,'Zaman'!H9)),0)</f>
        <v/>
      </c>
      <c r="I30" s="18">
        <f>IF('Zaman'!I13=1,IF(Girdiler!$C$91=1,IF('Zaman'!I15=1,INDEX(Python_girdileri!$AZ$6:$AZ$35,'Zaman'!I9),INDEX(Python_girdileri!$AJ$6:$AJ$35,'Zaman'!I9)),INDEX(Python_girdileri!$T$6:$T$35,'Zaman'!I9)),0)</f>
        <v/>
      </c>
      <c r="J30" s="18">
        <f>IF('Zaman'!J13=1,IF(Girdiler!$C$91=1,IF('Zaman'!J15=1,INDEX(Python_girdileri!$AZ$6:$AZ$35,'Zaman'!J9),INDEX(Python_girdileri!$AJ$6:$AJ$35,'Zaman'!J9)),INDEX(Python_girdileri!$T$6:$T$35,'Zaman'!J9)),0)</f>
        <v/>
      </c>
      <c r="K30" s="18">
        <f>IF('Zaman'!K13=1,IF(Girdiler!$C$91=1,IF('Zaman'!K15=1,INDEX(Python_girdileri!$AZ$6:$AZ$35,'Zaman'!K9),INDEX(Python_girdileri!$AJ$6:$AJ$35,'Zaman'!K9)),INDEX(Python_girdileri!$T$6:$T$35,'Zaman'!K9)),0)</f>
        <v/>
      </c>
      <c r="L30" s="18">
        <f>IF('Zaman'!L13=1,IF(Girdiler!$C$91=1,IF('Zaman'!L15=1,INDEX(Python_girdileri!$AZ$6:$AZ$35,'Zaman'!L9),INDEX(Python_girdileri!$AJ$6:$AJ$35,'Zaman'!L9)),INDEX(Python_girdileri!$T$6:$T$35,'Zaman'!L9)),0)</f>
        <v/>
      </c>
      <c r="M30" s="18">
        <f>IF('Zaman'!M13=1,IF(Girdiler!$C$91=1,IF('Zaman'!M15=1,INDEX(Python_girdileri!$AZ$6:$AZ$35,'Zaman'!M9),INDEX(Python_girdileri!$AJ$6:$AJ$35,'Zaman'!M9)),INDEX(Python_girdileri!$T$6:$T$35,'Zaman'!M9)),0)</f>
        <v/>
      </c>
      <c r="N30" s="18">
        <f>IF('Zaman'!N13=1,IF(Girdiler!$C$91=1,IF('Zaman'!N15=1,INDEX(Python_girdileri!$AZ$6:$AZ$35,'Zaman'!N9),INDEX(Python_girdileri!$AJ$6:$AJ$35,'Zaman'!N9)),INDEX(Python_girdileri!$T$6:$T$35,'Zaman'!N9)),0)</f>
        <v/>
      </c>
      <c r="O30" s="18">
        <f>IF('Zaman'!O13=1,IF(Girdiler!$C$91=1,IF('Zaman'!O15=1,INDEX(Python_girdileri!$AZ$6:$AZ$35,'Zaman'!O9),INDEX(Python_girdileri!$AJ$6:$AJ$35,'Zaman'!O9)),INDEX(Python_girdileri!$T$6:$T$35,'Zaman'!O9)),0)</f>
        <v/>
      </c>
      <c r="P30" s="18">
        <f>IF('Zaman'!P13=1,IF(Girdiler!$C$91=1,IF('Zaman'!P15=1,INDEX(Python_girdileri!$AZ$6:$AZ$35,'Zaman'!P9),INDEX(Python_girdileri!$AJ$6:$AJ$35,'Zaman'!P9)),INDEX(Python_girdileri!$T$6:$T$35,'Zaman'!P9)),0)</f>
        <v/>
      </c>
      <c r="Q30" s="18">
        <f>IF('Zaman'!Q13=1,IF(Girdiler!$C$91=1,IF('Zaman'!Q15=1,INDEX(Python_girdileri!$AZ$6:$AZ$35,'Zaman'!Q9),INDEX(Python_girdileri!$AJ$6:$AJ$35,'Zaman'!Q9)),INDEX(Python_girdileri!$T$6:$T$35,'Zaman'!Q9)),0)</f>
        <v/>
      </c>
      <c r="R30" s="18">
        <f>IF('Zaman'!R13=1,IF(Girdiler!$C$91=1,IF('Zaman'!R15=1,INDEX(Python_girdileri!$AZ$6:$AZ$35,'Zaman'!R9),INDEX(Python_girdileri!$AJ$6:$AJ$35,'Zaman'!R9)),INDEX(Python_girdileri!$T$6:$T$35,'Zaman'!R9)),0)</f>
        <v/>
      </c>
      <c r="S30" s="18">
        <f>IF('Zaman'!S13=1,IF(Girdiler!$C$91=1,IF('Zaman'!S15=1,INDEX(Python_girdileri!$AZ$6:$AZ$35,'Zaman'!S9),INDEX(Python_girdileri!$AJ$6:$AJ$35,'Zaman'!S9)),INDEX(Python_girdileri!$T$6:$T$35,'Zaman'!S9)),0)</f>
        <v/>
      </c>
      <c r="T30" s="18">
        <f>IF('Zaman'!T13=1,IF(Girdiler!$C$91=1,IF('Zaman'!T15=1,INDEX(Python_girdileri!$AZ$6:$AZ$35,'Zaman'!T9),INDEX(Python_girdileri!$AJ$6:$AJ$35,'Zaman'!T9)),INDEX(Python_girdileri!$T$6:$T$35,'Zaman'!T9)),0)</f>
        <v/>
      </c>
      <c r="U30" s="18">
        <f>IF('Zaman'!U13=1,IF(Girdiler!$C$91=1,IF('Zaman'!U15=1,INDEX(Python_girdileri!$AZ$6:$AZ$35,'Zaman'!U9),INDEX(Python_girdileri!$AJ$6:$AJ$35,'Zaman'!U9)),INDEX(Python_girdileri!$T$6:$T$35,'Zaman'!U9)),0)</f>
        <v/>
      </c>
      <c r="V30" s="18">
        <f>IF('Zaman'!V13=1,IF(Girdiler!$C$91=1,IF('Zaman'!V15=1,INDEX(Python_girdileri!$AZ$6:$AZ$35,'Zaman'!V9),INDEX(Python_girdileri!$AJ$6:$AJ$35,'Zaman'!V9)),INDEX(Python_girdileri!$T$6:$T$35,'Zaman'!V9)),0)</f>
        <v/>
      </c>
      <c r="W30" s="18">
        <f>IF('Zaman'!W13=1,IF(Girdiler!$C$91=1,IF('Zaman'!W15=1,INDEX(Python_girdileri!$AZ$6:$AZ$35,'Zaman'!W9),INDEX(Python_girdileri!$AJ$6:$AJ$35,'Zaman'!W9)),INDEX(Python_girdileri!$T$6:$T$35,'Zaman'!W9)),0)</f>
        <v/>
      </c>
      <c r="X30" s="18">
        <f>IF('Zaman'!X13=1,IF(Girdiler!$C$91=1,IF('Zaman'!X15=1,INDEX(Python_girdileri!$AZ$6:$AZ$35,'Zaman'!X9),INDEX(Python_girdileri!$AJ$6:$AJ$35,'Zaman'!X9)),INDEX(Python_girdileri!$T$6:$T$35,'Zaman'!X9)),0)</f>
        <v/>
      </c>
      <c r="Y30" s="18">
        <f>IF('Zaman'!Y13=1,IF(Girdiler!$C$91=1,IF('Zaman'!Y15=1,INDEX(Python_girdileri!$AZ$6:$AZ$35,'Zaman'!Y9),INDEX(Python_girdileri!$AJ$6:$AJ$35,'Zaman'!Y9)),INDEX(Python_girdileri!$T$6:$T$35,'Zaman'!Y9)),0)</f>
        <v/>
      </c>
      <c r="Z30" s="18">
        <f>IF('Zaman'!Z13=1,IF(Girdiler!$C$91=1,IF('Zaman'!Z15=1,INDEX(Python_girdileri!$AZ$6:$AZ$35,'Zaman'!Z9),INDEX(Python_girdileri!$AJ$6:$AJ$35,'Zaman'!Z9)),INDEX(Python_girdileri!$T$6:$T$35,'Zaman'!Z9)),0)</f>
        <v/>
      </c>
      <c r="AA30" s="18">
        <f>IF('Zaman'!AA13=1,IF(Girdiler!$C$91=1,IF('Zaman'!AA15=1,INDEX(Python_girdileri!$AZ$6:$AZ$35,'Zaman'!AA9),INDEX(Python_girdileri!$AJ$6:$AJ$35,'Zaman'!AA9)),INDEX(Python_girdileri!$T$6:$T$35,'Zaman'!AA9)),0)</f>
        <v/>
      </c>
      <c r="AB30" s="18">
        <f>IF('Zaman'!AB13=1,IF(Girdiler!$C$91=1,IF('Zaman'!AB15=1,INDEX(Python_girdileri!$AZ$6:$AZ$35,'Zaman'!AB9),INDEX(Python_girdileri!$AJ$6:$AJ$35,'Zaman'!AB9)),INDEX(Python_girdileri!$T$6:$T$35,'Zaman'!AB9)),0)</f>
        <v/>
      </c>
      <c r="AC30" s="18">
        <f>IF('Zaman'!AC13=1,IF(Girdiler!$C$91=1,IF('Zaman'!AC15=1,INDEX(Python_girdileri!$AZ$6:$AZ$35,'Zaman'!AC9),INDEX(Python_girdileri!$AJ$6:$AJ$35,'Zaman'!AC9)),INDEX(Python_girdileri!$T$6:$T$35,'Zaman'!AC9)),0)</f>
        <v/>
      </c>
      <c r="AD30" s="18">
        <f>IF('Zaman'!AD13=1,IF(Girdiler!$C$91=1,IF('Zaman'!AD15=1,INDEX(Python_girdileri!$AZ$6:$AZ$35,'Zaman'!AD9),INDEX(Python_girdileri!$AJ$6:$AJ$35,'Zaman'!AD9)),INDEX(Python_girdileri!$T$6:$T$35,'Zaman'!AD9)),0)</f>
        <v/>
      </c>
      <c r="AE30" s="18">
        <f>IF('Zaman'!AE13=1,IF(Girdiler!$C$91=1,IF('Zaman'!AE15=1,INDEX(Python_girdileri!$AZ$6:$AZ$35,'Zaman'!AE9),INDEX(Python_girdileri!$AJ$6:$AJ$35,'Zaman'!AE9)),INDEX(Python_girdileri!$T$6:$T$35,'Zaman'!AE9)),0)</f>
        <v/>
      </c>
      <c r="AF30" s="18">
        <f>IF('Zaman'!AF13=1,IF(Girdiler!$C$91=1,IF('Zaman'!AF15=1,INDEX(Python_girdileri!$AZ$6:$AZ$35,'Zaman'!AF9),INDEX(Python_girdileri!$AJ$6:$AJ$35,'Zaman'!AF9)),INDEX(Python_girdileri!$T$6:$T$35,'Zaman'!AF9)),0)</f>
        <v/>
      </c>
      <c r="AG30" s="18">
        <f>IF('Zaman'!AG13=1,IF(Girdiler!$C$91=1,IF('Zaman'!AG15=1,INDEX(Python_girdileri!$AZ$6:$AZ$35,'Zaman'!AG9),INDEX(Python_girdileri!$AJ$6:$AJ$35,'Zaman'!AG9)),INDEX(Python_girdileri!$T$6:$T$35,'Zaman'!AG9)),0)</f>
        <v/>
      </c>
      <c r="AH30" s="18">
        <f>IF('Zaman'!AH13=1,IF(Girdiler!$C$91=1,IF('Zaman'!AH15=1,INDEX(Python_girdileri!$AZ$6:$AZ$35,'Zaman'!AH9),INDEX(Python_girdileri!$AJ$6:$AJ$35,'Zaman'!AH9)),INDEX(Python_girdileri!$T$6:$T$35,'Zaman'!AH9)),0)</f>
        <v/>
      </c>
      <c r="AI30" s="18">
        <f>IF('Zaman'!AI13=1,IF(Girdiler!$C$91=1,IF('Zaman'!AI15=1,INDEX(Python_girdileri!$AZ$6:$AZ$35,'Zaman'!AI9),INDEX(Python_girdileri!$AJ$6:$AJ$35,'Zaman'!AI9)),INDEX(Python_girdileri!$T$6:$T$35,'Zaman'!AI9)),0)</f>
        <v/>
      </c>
      <c r="AJ30" s="18">
        <f>IF('Zaman'!AJ13=1,IF(Girdiler!$C$91=1,IF('Zaman'!AJ15=1,INDEX(Python_girdileri!$AZ$6:$AZ$35,'Zaman'!AJ9),INDEX(Python_girdileri!$AJ$6:$AJ$35,'Zaman'!AJ9)),INDEX(Python_girdileri!$T$6:$T$35,'Zaman'!AJ9)),0)</f>
        <v/>
      </c>
      <c r="AK30" s="18">
        <f>IF('Zaman'!AK13=1,IF(Girdiler!$C$91=1,IF('Zaman'!AK15=1,INDEX(Python_girdileri!$AZ$6:$AZ$35,'Zaman'!AK9),INDEX(Python_girdileri!$AJ$6:$AJ$35,'Zaman'!AK9)),INDEX(Python_girdileri!$T$6:$T$35,'Zaman'!AK9)),0)</f>
        <v/>
      </c>
      <c r="AL30" s="18">
        <f>IF('Zaman'!AL13=1,IF(Girdiler!$C$91=1,IF('Zaman'!AL15=1,INDEX(Python_girdileri!$AZ$6:$AZ$35,'Zaman'!AL9),INDEX(Python_girdileri!$AJ$6:$AJ$35,'Zaman'!AL9)),INDEX(Python_girdileri!$T$6:$T$35,'Zaman'!AL9)),0)</f>
        <v/>
      </c>
      <c r="AM30" s="18">
        <f>IF('Zaman'!AM13=1,IF(Girdiler!$C$91=1,IF('Zaman'!AM15=1,INDEX(Python_girdileri!$AZ$6:$AZ$35,'Zaman'!AM9),INDEX(Python_girdileri!$AJ$6:$AJ$35,'Zaman'!AM9)),INDEX(Python_girdileri!$T$6:$T$35,'Zaman'!AM9)),0)</f>
        <v/>
      </c>
      <c r="AN30" s="18">
        <f>IF('Zaman'!AN13=1,IF(Girdiler!$C$91=1,IF('Zaman'!AN15=1,INDEX(Python_girdileri!$AZ$6:$AZ$35,'Zaman'!AN9),INDEX(Python_girdileri!$AJ$6:$AJ$35,'Zaman'!AN9)),INDEX(Python_girdileri!$T$6:$T$35,'Zaman'!AN9)),0)</f>
        <v/>
      </c>
      <c r="AO30" s="18">
        <f>IF('Zaman'!AO13=1,IF(Girdiler!$C$91=1,IF('Zaman'!AO15=1,INDEX(Python_girdileri!$AZ$6:$AZ$35,'Zaman'!AO9),INDEX(Python_girdileri!$AJ$6:$AJ$35,'Zaman'!AO9)),INDEX(Python_girdileri!$T$6:$T$35,'Zaman'!AO9)),0)</f>
        <v/>
      </c>
      <c r="AP30" s="18">
        <f>IF('Zaman'!AP13=1,IF(Girdiler!$C$91=1,IF('Zaman'!AP15=1,INDEX(Python_girdileri!$AZ$6:$AZ$35,'Zaman'!AP9),INDEX(Python_girdileri!$AJ$6:$AJ$35,'Zaman'!AP9)),INDEX(Python_girdileri!$T$6:$T$35,'Zaman'!AP9)),0)</f>
        <v/>
      </c>
      <c r="AQ30" s="18">
        <f>IF('Zaman'!AQ13=1,IF(Girdiler!$C$91=1,IF('Zaman'!AQ15=1,INDEX(Python_girdileri!$AZ$6:$AZ$35,'Zaman'!AQ9),INDEX(Python_girdileri!$AJ$6:$AJ$35,'Zaman'!AQ9)),INDEX(Python_girdileri!$T$6:$T$35,'Zaman'!AQ9)),0)</f>
        <v/>
      </c>
      <c r="AR30" s="18">
        <f>IF('Zaman'!AR13=1,IF(Girdiler!$C$91=1,IF('Zaman'!AR15=1,INDEX(Python_girdileri!$AZ$6:$AZ$35,'Zaman'!AR9),INDEX(Python_girdileri!$AJ$6:$AJ$35,'Zaman'!AR9)),INDEX(Python_girdileri!$T$6:$T$35,'Zaman'!AR9)),0)</f>
        <v/>
      </c>
    </row>
    <row r="31">
      <c r="A31" t="inlineStr">
        <is>
          <t>Sistem kesintisi oranı κ</t>
        </is>
      </c>
      <c r="B31" t="inlineStr">
        <is>
          <t>oran</t>
        </is>
      </c>
      <c r="C31" t="inlineStr"/>
      <c r="E31" s="25" t="n">
        <v>0</v>
      </c>
      <c r="F31" s="25">
        <f>IF('Zaman'!F13=1,INDEX(Python_girdileri!$D$6:$D$35,'Zaman'!F9),0)</f>
        <v/>
      </c>
      <c r="G31" s="25">
        <f>IF('Zaman'!G13=1,INDEX(Python_girdileri!$D$6:$D$35,'Zaman'!G9),0)</f>
        <v/>
      </c>
      <c r="H31" s="25">
        <f>IF('Zaman'!H13=1,INDEX(Python_girdileri!$D$6:$D$35,'Zaman'!H9),0)</f>
        <v/>
      </c>
      <c r="I31" s="25">
        <f>IF('Zaman'!I13=1,INDEX(Python_girdileri!$D$6:$D$35,'Zaman'!I9),0)</f>
        <v/>
      </c>
      <c r="J31" s="25">
        <f>IF('Zaman'!J13=1,INDEX(Python_girdileri!$D$6:$D$35,'Zaman'!J9),0)</f>
        <v/>
      </c>
      <c r="K31" s="25">
        <f>IF('Zaman'!K13=1,INDEX(Python_girdileri!$D$6:$D$35,'Zaman'!K9),0)</f>
        <v/>
      </c>
      <c r="L31" s="25">
        <f>IF('Zaman'!L13=1,INDEX(Python_girdileri!$D$6:$D$35,'Zaman'!L9),0)</f>
        <v/>
      </c>
      <c r="M31" s="25">
        <f>IF('Zaman'!M13=1,INDEX(Python_girdileri!$D$6:$D$35,'Zaman'!M9),0)</f>
        <v/>
      </c>
      <c r="N31" s="25">
        <f>IF('Zaman'!N13=1,INDEX(Python_girdileri!$D$6:$D$35,'Zaman'!N9),0)</f>
        <v/>
      </c>
      <c r="O31" s="25">
        <f>IF('Zaman'!O13=1,INDEX(Python_girdileri!$D$6:$D$35,'Zaman'!O9),0)</f>
        <v/>
      </c>
      <c r="P31" s="25">
        <f>IF('Zaman'!P13=1,INDEX(Python_girdileri!$D$6:$D$35,'Zaman'!P9),0)</f>
        <v/>
      </c>
      <c r="Q31" s="25">
        <f>IF('Zaman'!Q13=1,INDEX(Python_girdileri!$D$6:$D$35,'Zaman'!Q9),0)</f>
        <v/>
      </c>
      <c r="R31" s="25">
        <f>IF('Zaman'!R13=1,INDEX(Python_girdileri!$D$6:$D$35,'Zaman'!R9),0)</f>
        <v/>
      </c>
      <c r="S31" s="25">
        <f>IF('Zaman'!S13=1,INDEX(Python_girdileri!$D$6:$D$35,'Zaman'!S9),0)</f>
        <v/>
      </c>
      <c r="T31" s="25">
        <f>IF('Zaman'!T13=1,INDEX(Python_girdileri!$D$6:$D$35,'Zaman'!T9),0)</f>
        <v/>
      </c>
      <c r="U31" s="25">
        <f>IF('Zaman'!U13=1,INDEX(Python_girdileri!$D$6:$D$35,'Zaman'!U9),0)</f>
        <v/>
      </c>
      <c r="V31" s="25">
        <f>IF('Zaman'!V13=1,INDEX(Python_girdileri!$D$6:$D$35,'Zaman'!V9),0)</f>
        <v/>
      </c>
      <c r="W31" s="25">
        <f>IF('Zaman'!W13=1,INDEX(Python_girdileri!$D$6:$D$35,'Zaman'!W9),0)</f>
        <v/>
      </c>
      <c r="X31" s="25">
        <f>IF('Zaman'!X13=1,INDEX(Python_girdileri!$D$6:$D$35,'Zaman'!X9),0)</f>
        <v/>
      </c>
      <c r="Y31" s="25">
        <f>IF('Zaman'!Y13=1,INDEX(Python_girdileri!$D$6:$D$35,'Zaman'!Y9),0)</f>
        <v/>
      </c>
      <c r="Z31" s="25">
        <f>IF('Zaman'!Z13=1,INDEX(Python_girdileri!$D$6:$D$35,'Zaman'!Z9),0)</f>
        <v/>
      </c>
      <c r="AA31" s="25">
        <f>IF('Zaman'!AA13=1,INDEX(Python_girdileri!$D$6:$D$35,'Zaman'!AA9),0)</f>
        <v/>
      </c>
      <c r="AB31" s="25">
        <f>IF('Zaman'!AB13=1,INDEX(Python_girdileri!$D$6:$D$35,'Zaman'!AB9),0)</f>
        <v/>
      </c>
      <c r="AC31" s="25">
        <f>IF('Zaman'!AC13=1,INDEX(Python_girdileri!$D$6:$D$35,'Zaman'!AC9),0)</f>
        <v/>
      </c>
      <c r="AD31" s="25">
        <f>IF('Zaman'!AD13=1,INDEX(Python_girdileri!$D$6:$D$35,'Zaman'!AD9),0)</f>
        <v/>
      </c>
      <c r="AE31" s="25">
        <f>IF('Zaman'!AE13=1,INDEX(Python_girdileri!$D$6:$D$35,'Zaman'!AE9),0)</f>
        <v/>
      </c>
      <c r="AF31" s="25">
        <f>IF('Zaman'!AF13=1,INDEX(Python_girdileri!$D$6:$D$35,'Zaman'!AF9),0)</f>
        <v/>
      </c>
      <c r="AG31" s="25">
        <f>IF('Zaman'!AG13=1,INDEX(Python_girdileri!$D$6:$D$35,'Zaman'!AG9),0)</f>
        <v/>
      </c>
      <c r="AH31" s="25">
        <f>IF('Zaman'!AH13=1,INDEX(Python_girdileri!$D$6:$D$35,'Zaman'!AH9),0)</f>
        <v/>
      </c>
      <c r="AI31" s="25">
        <f>IF('Zaman'!AI13=1,INDEX(Python_girdileri!$D$6:$D$35,'Zaman'!AI9),0)</f>
        <v/>
      </c>
      <c r="AJ31" s="25">
        <f>IF('Zaman'!AJ13=1,INDEX(Python_girdileri!$D$6:$D$35,'Zaman'!AJ9),0)</f>
        <v/>
      </c>
      <c r="AK31" s="25">
        <f>IF('Zaman'!AK13=1,INDEX(Python_girdileri!$D$6:$D$35,'Zaman'!AK9),0)</f>
        <v/>
      </c>
      <c r="AL31" s="25">
        <f>IF('Zaman'!AL13=1,INDEX(Python_girdileri!$D$6:$D$35,'Zaman'!AL9),0)</f>
        <v/>
      </c>
      <c r="AM31" s="25">
        <f>IF('Zaman'!AM13=1,INDEX(Python_girdileri!$D$6:$D$35,'Zaman'!AM9),0)</f>
        <v/>
      </c>
      <c r="AN31" s="25">
        <f>IF('Zaman'!AN13=1,INDEX(Python_girdileri!$D$6:$D$35,'Zaman'!AN9),0)</f>
        <v/>
      </c>
      <c r="AO31" s="25">
        <f>IF('Zaman'!AO13=1,INDEX(Python_girdileri!$D$6:$D$35,'Zaman'!AO9),0)</f>
        <v/>
      </c>
      <c r="AP31" s="25">
        <f>IF('Zaman'!AP13=1,INDEX(Python_girdileri!$D$6:$D$35,'Zaman'!AP9),0)</f>
        <v/>
      </c>
      <c r="AQ31" s="25">
        <f>IF('Zaman'!AQ13=1,INDEX(Python_girdileri!$D$6:$D$35,'Zaman'!AQ9),0)</f>
        <v/>
      </c>
      <c r="AR31" s="25">
        <f>IF('Zaman'!AR13=1,INDEX(Python_girdileri!$D$6:$D$35,'Zaman'!AR9),0)</f>
        <v/>
      </c>
    </row>
    <row r="32">
      <c r="A32" t="inlineStr">
        <is>
          <t>Kesinti gelir kaybı payı</t>
        </is>
      </c>
      <c r="B32" t="inlineStr">
        <is>
          <t>oran</t>
        </is>
      </c>
      <c r="C32" t="inlineStr">
        <is>
          <t>YEKDEM yılı: YEK farkı ödenmez; tüccar: DGP tazmini</t>
        </is>
      </c>
      <c r="E32" s="21" t="n">
        <v>0</v>
      </c>
      <c r="F32" s="21">
        <f>IF('Zaman'!F15=1,'Uretim'!F31*(1-Girdiler!$C$58*Girdiler!$C$59)*(1-Girdiler!$C$61),'Uretim'!F31*Girdiler!$C$59*(1-Girdiler!$C$58)*(1-Girdiler!$C$60))</f>
        <v/>
      </c>
      <c r="G32" s="21">
        <f>IF('Zaman'!G15=1,'Uretim'!G31*(1-Girdiler!$C$58*Girdiler!$C$59)*(1-Girdiler!$C$61),'Uretim'!G31*Girdiler!$C$59*(1-Girdiler!$C$58)*(1-Girdiler!$C$60))</f>
        <v/>
      </c>
      <c r="H32" s="21">
        <f>IF('Zaman'!H15=1,'Uretim'!H31*(1-Girdiler!$C$58*Girdiler!$C$59)*(1-Girdiler!$C$61),'Uretim'!H31*Girdiler!$C$59*(1-Girdiler!$C$58)*(1-Girdiler!$C$60))</f>
        <v/>
      </c>
      <c r="I32" s="21">
        <f>IF('Zaman'!I15=1,'Uretim'!I31*(1-Girdiler!$C$58*Girdiler!$C$59)*(1-Girdiler!$C$61),'Uretim'!I31*Girdiler!$C$59*(1-Girdiler!$C$58)*(1-Girdiler!$C$60))</f>
        <v/>
      </c>
      <c r="J32" s="21">
        <f>IF('Zaman'!J15=1,'Uretim'!J31*(1-Girdiler!$C$58*Girdiler!$C$59)*(1-Girdiler!$C$61),'Uretim'!J31*Girdiler!$C$59*(1-Girdiler!$C$58)*(1-Girdiler!$C$60))</f>
        <v/>
      </c>
      <c r="K32" s="21">
        <f>IF('Zaman'!K15=1,'Uretim'!K31*(1-Girdiler!$C$58*Girdiler!$C$59)*(1-Girdiler!$C$61),'Uretim'!K31*Girdiler!$C$59*(1-Girdiler!$C$58)*(1-Girdiler!$C$60))</f>
        <v/>
      </c>
      <c r="L32" s="21">
        <f>IF('Zaman'!L15=1,'Uretim'!L31*(1-Girdiler!$C$58*Girdiler!$C$59)*(1-Girdiler!$C$61),'Uretim'!L31*Girdiler!$C$59*(1-Girdiler!$C$58)*(1-Girdiler!$C$60))</f>
        <v/>
      </c>
      <c r="M32" s="21">
        <f>IF('Zaman'!M15=1,'Uretim'!M31*(1-Girdiler!$C$58*Girdiler!$C$59)*(1-Girdiler!$C$61),'Uretim'!M31*Girdiler!$C$59*(1-Girdiler!$C$58)*(1-Girdiler!$C$60))</f>
        <v/>
      </c>
      <c r="N32" s="21">
        <f>IF('Zaman'!N15=1,'Uretim'!N31*(1-Girdiler!$C$58*Girdiler!$C$59)*(1-Girdiler!$C$61),'Uretim'!N31*Girdiler!$C$59*(1-Girdiler!$C$58)*(1-Girdiler!$C$60))</f>
        <v/>
      </c>
      <c r="O32" s="21">
        <f>IF('Zaman'!O15=1,'Uretim'!O31*(1-Girdiler!$C$58*Girdiler!$C$59)*(1-Girdiler!$C$61),'Uretim'!O31*Girdiler!$C$59*(1-Girdiler!$C$58)*(1-Girdiler!$C$60))</f>
        <v/>
      </c>
      <c r="P32" s="21">
        <f>IF('Zaman'!P15=1,'Uretim'!P31*(1-Girdiler!$C$58*Girdiler!$C$59)*(1-Girdiler!$C$61),'Uretim'!P31*Girdiler!$C$59*(1-Girdiler!$C$58)*(1-Girdiler!$C$60))</f>
        <v/>
      </c>
      <c r="Q32" s="21">
        <f>IF('Zaman'!Q15=1,'Uretim'!Q31*(1-Girdiler!$C$58*Girdiler!$C$59)*(1-Girdiler!$C$61),'Uretim'!Q31*Girdiler!$C$59*(1-Girdiler!$C$58)*(1-Girdiler!$C$60))</f>
        <v/>
      </c>
      <c r="R32" s="21">
        <f>IF('Zaman'!R15=1,'Uretim'!R31*(1-Girdiler!$C$58*Girdiler!$C$59)*(1-Girdiler!$C$61),'Uretim'!R31*Girdiler!$C$59*(1-Girdiler!$C$58)*(1-Girdiler!$C$60))</f>
        <v/>
      </c>
      <c r="S32" s="21">
        <f>IF('Zaman'!S15=1,'Uretim'!S31*(1-Girdiler!$C$58*Girdiler!$C$59)*(1-Girdiler!$C$61),'Uretim'!S31*Girdiler!$C$59*(1-Girdiler!$C$58)*(1-Girdiler!$C$60))</f>
        <v/>
      </c>
      <c r="T32" s="21">
        <f>IF('Zaman'!T15=1,'Uretim'!T31*(1-Girdiler!$C$58*Girdiler!$C$59)*(1-Girdiler!$C$61),'Uretim'!T31*Girdiler!$C$59*(1-Girdiler!$C$58)*(1-Girdiler!$C$60))</f>
        <v/>
      </c>
      <c r="U32" s="21">
        <f>IF('Zaman'!U15=1,'Uretim'!U31*(1-Girdiler!$C$58*Girdiler!$C$59)*(1-Girdiler!$C$61),'Uretim'!U31*Girdiler!$C$59*(1-Girdiler!$C$58)*(1-Girdiler!$C$60))</f>
        <v/>
      </c>
      <c r="V32" s="21">
        <f>IF('Zaman'!V15=1,'Uretim'!V31*(1-Girdiler!$C$58*Girdiler!$C$59)*(1-Girdiler!$C$61),'Uretim'!V31*Girdiler!$C$59*(1-Girdiler!$C$58)*(1-Girdiler!$C$60))</f>
        <v/>
      </c>
      <c r="W32" s="21">
        <f>IF('Zaman'!W15=1,'Uretim'!W31*(1-Girdiler!$C$58*Girdiler!$C$59)*(1-Girdiler!$C$61),'Uretim'!W31*Girdiler!$C$59*(1-Girdiler!$C$58)*(1-Girdiler!$C$60))</f>
        <v/>
      </c>
      <c r="X32" s="21">
        <f>IF('Zaman'!X15=1,'Uretim'!X31*(1-Girdiler!$C$58*Girdiler!$C$59)*(1-Girdiler!$C$61),'Uretim'!X31*Girdiler!$C$59*(1-Girdiler!$C$58)*(1-Girdiler!$C$60))</f>
        <v/>
      </c>
      <c r="Y32" s="21">
        <f>IF('Zaman'!Y15=1,'Uretim'!Y31*(1-Girdiler!$C$58*Girdiler!$C$59)*(1-Girdiler!$C$61),'Uretim'!Y31*Girdiler!$C$59*(1-Girdiler!$C$58)*(1-Girdiler!$C$60))</f>
        <v/>
      </c>
      <c r="Z32" s="21">
        <f>IF('Zaman'!Z15=1,'Uretim'!Z31*(1-Girdiler!$C$58*Girdiler!$C$59)*(1-Girdiler!$C$61),'Uretim'!Z31*Girdiler!$C$59*(1-Girdiler!$C$58)*(1-Girdiler!$C$60))</f>
        <v/>
      </c>
      <c r="AA32" s="21">
        <f>IF('Zaman'!AA15=1,'Uretim'!AA31*(1-Girdiler!$C$58*Girdiler!$C$59)*(1-Girdiler!$C$61),'Uretim'!AA31*Girdiler!$C$59*(1-Girdiler!$C$58)*(1-Girdiler!$C$60))</f>
        <v/>
      </c>
      <c r="AB32" s="21">
        <f>IF('Zaman'!AB15=1,'Uretim'!AB31*(1-Girdiler!$C$58*Girdiler!$C$59)*(1-Girdiler!$C$61),'Uretim'!AB31*Girdiler!$C$59*(1-Girdiler!$C$58)*(1-Girdiler!$C$60))</f>
        <v/>
      </c>
      <c r="AC32" s="21">
        <f>IF('Zaman'!AC15=1,'Uretim'!AC31*(1-Girdiler!$C$58*Girdiler!$C$59)*(1-Girdiler!$C$61),'Uretim'!AC31*Girdiler!$C$59*(1-Girdiler!$C$58)*(1-Girdiler!$C$60))</f>
        <v/>
      </c>
      <c r="AD32" s="21">
        <f>IF('Zaman'!AD15=1,'Uretim'!AD31*(1-Girdiler!$C$58*Girdiler!$C$59)*(1-Girdiler!$C$61),'Uretim'!AD31*Girdiler!$C$59*(1-Girdiler!$C$58)*(1-Girdiler!$C$60))</f>
        <v/>
      </c>
      <c r="AE32" s="21">
        <f>IF('Zaman'!AE15=1,'Uretim'!AE31*(1-Girdiler!$C$58*Girdiler!$C$59)*(1-Girdiler!$C$61),'Uretim'!AE31*Girdiler!$C$59*(1-Girdiler!$C$58)*(1-Girdiler!$C$60))</f>
        <v/>
      </c>
      <c r="AF32" s="21">
        <f>IF('Zaman'!AF15=1,'Uretim'!AF31*(1-Girdiler!$C$58*Girdiler!$C$59)*(1-Girdiler!$C$61),'Uretim'!AF31*Girdiler!$C$59*(1-Girdiler!$C$58)*(1-Girdiler!$C$60))</f>
        <v/>
      </c>
      <c r="AG32" s="21">
        <f>IF('Zaman'!AG15=1,'Uretim'!AG31*(1-Girdiler!$C$58*Girdiler!$C$59)*(1-Girdiler!$C$61),'Uretim'!AG31*Girdiler!$C$59*(1-Girdiler!$C$58)*(1-Girdiler!$C$60))</f>
        <v/>
      </c>
      <c r="AH32" s="21">
        <f>IF('Zaman'!AH15=1,'Uretim'!AH31*(1-Girdiler!$C$58*Girdiler!$C$59)*(1-Girdiler!$C$61),'Uretim'!AH31*Girdiler!$C$59*(1-Girdiler!$C$58)*(1-Girdiler!$C$60))</f>
        <v/>
      </c>
      <c r="AI32" s="21">
        <f>IF('Zaman'!AI15=1,'Uretim'!AI31*(1-Girdiler!$C$58*Girdiler!$C$59)*(1-Girdiler!$C$61),'Uretim'!AI31*Girdiler!$C$59*(1-Girdiler!$C$58)*(1-Girdiler!$C$60))</f>
        <v/>
      </c>
      <c r="AJ32" s="21">
        <f>IF('Zaman'!AJ15=1,'Uretim'!AJ31*(1-Girdiler!$C$58*Girdiler!$C$59)*(1-Girdiler!$C$61),'Uretim'!AJ31*Girdiler!$C$59*(1-Girdiler!$C$58)*(1-Girdiler!$C$60))</f>
        <v/>
      </c>
      <c r="AK32" s="21">
        <f>IF('Zaman'!AK15=1,'Uretim'!AK31*(1-Girdiler!$C$58*Girdiler!$C$59)*(1-Girdiler!$C$61),'Uretim'!AK31*Girdiler!$C$59*(1-Girdiler!$C$58)*(1-Girdiler!$C$60))</f>
        <v/>
      </c>
      <c r="AL32" s="21">
        <f>IF('Zaman'!AL15=1,'Uretim'!AL31*(1-Girdiler!$C$58*Girdiler!$C$59)*(1-Girdiler!$C$61),'Uretim'!AL31*Girdiler!$C$59*(1-Girdiler!$C$58)*(1-Girdiler!$C$60))</f>
        <v/>
      </c>
      <c r="AM32" s="21">
        <f>IF('Zaman'!AM15=1,'Uretim'!AM31*(1-Girdiler!$C$58*Girdiler!$C$59)*(1-Girdiler!$C$61),'Uretim'!AM31*Girdiler!$C$59*(1-Girdiler!$C$58)*(1-Girdiler!$C$60))</f>
        <v/>
      </c>
      <c r="AN32" s="21">
        <f>IF('Zaman'!AN15=1,'Uretim'!AN31*(1-Girdiler!$C$58*Girdiler!$C$59)*(1-Girdiler!$C$61),'Uretim'!AN31*Girdiler!$C$59*(1-Girdiler!$C$58)*(1-Girdiler!$C$60))</f>
        <v/>
      </c>
      <c r="AO32" s="21">
        <f>IF('Zaman'!AO15=1,'Uretim'!AO31*(1-Girdiler!$C$58*Girdiler!$C$59)*(1-Girdiler!$C$61),'Uretim'!AO31*Girdiler!$C$59*(1-Girdiler!$C$58)*(1-Girdiler!$C$60))</f>
        <v/>
      </c>
      <c r="AP32" s="21">
        <f>IF('Zaman'!AP15=1,'Uretim'!AP31*(1-Girdiler!$C$58*Girdiler!$C$59)*(1-Girdiler!$C$61),'Uretim'!AP31*Girdiler!$C$59*(1-Girdiler!$C$58)*(1-Girdiler!$C$60))</f>
        <v/>
      </c>
      <c r="AQ32" s="21">
        <f>IF('Zaman'!AQ15=1,'Uretim'!AQ31*(1-Girdiler!$C$58*Girdiler!$C$59)*(1-Girdiler!$C$61),'Uretim'!AQ31*Girdiler!$C$59*(1-Girdiler!$C$58)*(1-Girdiler!$C$60))</f>
        <v/>
      </c>
      <c r="AR32" s="21">
        <f>IF('Zaman'!AR15=1,'Uretim'!AR31*(1-Girdiler!$C$58*Girdiler!$C$59)*(1-Girdiler!$C$61),'Uretim'!AR31*Girdiler!$C$59*(1-Girdiler!$C$58)*(1-Girdiler!$C$60))</f>
        <v/>
      </c>
    </row>
    <row r="33">
      <c r="A33" t="inlineStr">
        <is>
          <t>Kesinti enerji kaybı payı</t>
        </is>
      </c>
      <c r="B33" t="inlineStr">
        <is>
          <t>oran</t>
        </is>
      </c>
      <c r="C33" t="inlineStr"/>
      <c r="E33" s="21" t="n">
        <v>0</v>
      </c>
      <c r="F33" s="21">
        <f>'Uretim'!F31*(1-Girdiler!$C$61)</f>
        <v/>
      </c>
      <c r="G33" s="21">
        <f>'Uretim'!G31*(1-Girdiler!$C$61)</f>
        <v/>
      </c>
      <c r="H33" s="21">
        <f>'Uretim'!H31*(1-Girdiler!$C$61)</f>
        <v/>
      </c>
      <c r="I33" s="21">
        <f>'Uretim'!I31*(1-Girdiler!$C$61)</f>
        <v/>
      </c>
      <c r="J33" s="21">
        <f>'Uretim'!J31*(1-Girdiler!$C$61)</f>
        <v/>
      </c>
      <c r="K33" s="21">
        <f>'Uretim'!K31*(1-Girdiler!$C$61)</f>
        <v/>
      </c>
      <c r="L33" s="21">
        <f>'Uretim'!L31*(1-Girdiler!$C$61)</f>
        <v/>
      </c>
      <c r="M33" s="21">
        <f>'Uretim'!M31*(1-Girdiler!$C$61)</f>
        <v/>
      </c>
      <c r="N33" s="21">
        <f>'Uretim'!N31*(1-Girdiler!$C$61)</f>
        <v/>
      </c>
      <c r="O33" s="21">
        <f>'Uretim'!O31*(1-Girdiler!$C$61)</f>
        <v/>
      </c>
      <c r="P33" s="21">
        <f>'Uretim'!P31*(1-Girdiler!$C$61)</f>
        <v/>
      </c>
      <c r="Q33" s="21">
        <f>'Uretim'!Q31*(1-Girdiler!$C$61)</f>
        <v/>
      </c>
      <c r="R33" s="21">
        <f>'Uretim'!R31*(1-Girdiler!$C$61)</f>
        <v/>
      </c>
      <c r="S33" s="21">
        <f>'Uretim'!S31*(1-Girdiler!$C$61)</f>
        <v/>
      </c>
      <c r="T33" s="21">
        <f>'Uretim'!T31*(1-Girdiler!$C$61)</f>
        <v/>
      </c>
      <c r="U33" s="21">
        <f>'Uretim'!U31*(1-Girdiler!$C$61)</f>
        <v/>
      </c>
      <c r="V33" s="21">
        <f>'Uretim'!V31*(1-Girdiler!$C$61)</f>
        <v/>
      </c>
      <c r="W33" s="21">
        <f>'Uretim'!W31*(1-Girdiler!$C$61)</f>
        <v/>
      </c>
      <c r="X33" s="21">
        <f>'Uretim'!X31*(1-Girdiler!$C$61)</f>
        <v/>
      </c>
      <c r="Y33" s="21">
        <f>'Uretim'!Y31*(1-Girdiler!$C$61)</f>
        <v/>
      </c>
      <c r="Z33" s="21">
        <f>'Uretim'!Z31*(1-Girdiler!$C$61)</f>
        <v/>
      </c>
      <c r="AA33" s="21">
        <f>'Uretim'!AA31*(1-Girdiler!$C$61)</f>
        <v/>
      </c>
      <c r="AB33" s="21">
        <f>'Uretim'!AB31*(1-Girdiler!$C$61)</f>
        <v/>
      </c>
      <c r="AC33" s="21">
        <f>'Uretim'!AC31*(1-Girdiler!$C$61)</f>
        <v/>
      </c>
      <c r="AD33" s="21">
        <f>'Uretim'!AD31*(1-Girdiler!$C$61)</f>
        <v/>
      </c>
      <c r="AE33" s="21">
        <f>'Uretim'!AE31*(1-Girdiler!$C$61)</f>
        <v/>
      </c>
      <c r="AF33" s="21">
        <f>'Uretim'!AF31*(1-Girdiler!$C$61)</f>
        <v/>
      </c>
      <c r="AG33" s="21">
        <f>'Uretim'!AG31*(1-Girdiler!$C$61)</f>
        <v/>
      </c>
      <c r="AH33" s="21">
        <f>'Uretim'!AH31*(1-Girdiler!$C$61)</f>
        <v/>
      </c>
      <c r="AI33" s="21">
        <f>'Uretim'!AI31*(1-Girdiler!$C$61)</f>
        <v/>
      </c>
      <c r="AJ33" s="21">
        <f>'Uretim'!AJ31*(1-Girdiler!$C$61)</f>
        <v/>
      </c>
      <c r="AK33" s="21">
        <f>'Uretim'!AK31*(1-Girdiler!$C$61)</f>
        <v/>
      </c>
      <c r="AL33" s="21">
        <f>'Uretim'!AL31*(1-Girdiler!$C$61)</f>
        <v/>
      </c>
      <c r="AM33" s="21">
        <f>'Uretim'!AM31*(1-Girdiler!$C$61)</f>
        <v/>
      </c>
      <c r="AN33" s="21">
        <f>'Uretim'!AN31*(1-Girdiler!$C$61)</f>
        <v/>
      </c>
      <c r="AO33" s="21">
        <f>'Uretim'!AO31*(1-Girdiler!$C$61)</f>
        <v/>
      </c>
      <c r="AP33" s="21">
        <f>'Uretim'!AP31*(1-Girdiler!$C$61)</f>
        <v/>
      </c>
      <c r="AQ33" s="21">
        <f>'Uretim'!AQ31*(1-Girdiler!$C$61)</f>
        <v/>
      </c>
      <c r="AR33" s="21">
        <f>'Uretim'!AR31*(1-Girdiler!$C$61)</f>
        <v/>
      </c>
    </row>
    <row r="34">
      <c r="A34" t="inlineStr">
        <is>
          <t>RES satılan enerji (kesinti sonrası)</t>
        </is>
      </c>
      <c r="B34" t="inlineStr">
        <is>
          <t>MWh</t>
        </is>
      </c>
      <c r="C34" t="inlineStr"/>
      <c r="D34" s="18">
        <f>SUM(F34:AR34)</f>
        <v/>
      </c>
      <c r="E34" s="18" t="n">
        <v>0</v>
      </c>
      <c r="F34" s="18">
        <f>'Uretim'!F24*(1-'Uretim'!F33)</f>
        <v/>
      </c>
      <c r="G34" s="18">
        <f>'Uretim'!G24*(1-'Uretim'!G33)</f>
        <v/>
      </c>
      <c r="H34" s="18">
        <f>'Uretim'!H24*(1-'Uretim'!H33)</f>
        <v/>
      </c>
      <c r="I34" s="18">
        <f>'Uretim'!I24*(1-'Uretim'!I33)</f>
        <v/>
      </c>
      <c r="J34" s="18">
        <f>'Uretim'!J24*(1-'Uretim'!J33)</f>
        <v/>
      </c>
      <c r="K34" s="18">
        <f>'Uretim'!K24*(1-'Uretim'!K33)</f>
        <v/>
      </c>
      <c r="L34" s="18">
        <f>'Uretim'!L24*(1-'Uretim'!L33)</f>
        <v/>
      </c>
      <c r="M34" s="18">
        <f>'Uretim'!M24*(1-'Uretim'!M33)</f>
        <v/>
      </c>
      <c r="N34" s="18">
        <f>'Uretim'!N24*(1-'Uretim'!N33)</f>
        <v/>
      </c>
      <c r="O34" s="18">
        <f>'Uretim'!O24*(1-'Uretim'!O33)</f>
        <v/>
      </c>
      <c r="P34" s="18">
        <f>'Uretim'!P24*(1-'Uretim'!P33)</f>
        <v/>
      </c>
      <c r="Q34" s="18">
        <f>'Uretim'!Q24*(1-'Uretim'!Q33)</f>
        <v/>
      </c>
      <c r="R34" s="18">
        <f>'Uretim'!R24*(1-'Uretim'!R33)</f>
        <v/>
      </c>
      <c r="S34" s="18">
        <f>'Uretim'!S24*(1-'Uretim'!S33)</f>
        <v/>
      </c>
      <c r="T34" s="18">
        <f>'Uretim'!T24*(1-'Uretim'!T33)</f>
        <v/>
      </c>
      <c r="U34" s="18">
        <f>'Uretim'!U24*(1-'Uretim'!U33)</f>
        <v/>
      </c>
      <c r="V34" s="18">
        <f>'Uretim'!V24*(1-'Uretim'!V33)</f>
        <v/>
      </c>
      <c r="W34" s="18">
        <f>'Uretim'!W24*(1-'Uretim'!W33)</f>
        <v/>
      </c>
      <c r="X34" s="18">
        <f>'Uretim'!X24*(1-'Uretim'!X33)</f>
        <v/>
      </c>
      <c r="Y34" s="18">
        <f>'Uretim'!Y24*(1-'Uretim'!Y33)</f>
        <v/>
      </c>
      <c r="Z34" s="18">
        <f>'Uretim'!Z24*(1-'Uretim'!Z33)</f>
        <v/>
      </c>
      <c r="AA34" s="18">
        <f>'Uretim'!AA24*(1-'Uretim'!AA33)</f>
        <v/>
      </c>
      <c r="AB34" s="18">
        <f>'Uretim'!AB24*(1-'Uretim'!AB33)</f>
        <v/>
      </c>
      <c r="AC34" s="18">
        <f>'Uretim'!AC24*(1-'Uretim'!AC33)</f>
        <v/>
      </c>
      <c r="AD34" s="18">
        <f>'Uretim'!AD24*(1-'Uretim'!AD33)</f>
        <v/>
      </c>
      <c r="AE34" s="18">
        <f>'Uretim'!AE24*(1-'Uretim'!AE33)</f>
        <v/>
      </c>
      <c r="AF34" s="18">
        <f>'Uretim'!AF24*(1-'Uretim'!AF33)</f>
        <v/>
      </c>
      <c r="AG34" s="18">
        <f>'Uretim'!AG24*(1-'Uretim'!AG33)</f>
        <v/>
      </c>
      <c r="AH34" s="18">
        <f>'Uretim'!AH24*(1-'Uretim'!AH33)</f>
        <v/>
      </c>
      <c r="AI34" s="18">
        <f>'Uretim'!AI24*(1-'Uretim'!AI33)</f>
        <v/>
      </c>
      <c r="AJ34" s="18">
        <f>'Uretim'!AJ24*(1-'Uretim'!AJ33)</f>
        <v/>
      </c>
      <c r="AK34" s="18">
        <f>'Uretim'!AK24*(1-'Uretim'!AK33)</f>
        <v/>
      </c>
      <c r="AL34" s="18">
        <f>'Uretim'!AL24*(1-'Uretim'!AL33)</f>
        <v/>
      </c>
      <c r="AM34" s="18">
        <f>'Uretim'!AM24*(1-'Uretim'!AM33)</f>
        <v/>
      </c>
      <c r="AN34" s="18">
        <f>'Uretim'!AN24*(1-'Uretim'!AN33)</f>
        <v/>
      </c>
      <c r="AO34" s="18">
        <f>'Uretim'!AO24*(1-'Uretim'!AO33)</f>
        <v/>
      </c>
      <c r="AP34" s="18">
        <f>'Uretim'!AP24*(1-'Uretim'!AP33)</f>
        <v/>
      </c>
      <c r="AQ34" s="18">
        <f>'Uretim'!AQ24*(1-'Uretim'!AQ33)</f>
        <v/>
      </c>
      <c r="AR34" s="18">
        <f>'Uretim'!AR24*(1-'Uretim'!AR33)</f>
        <v/>
      </c>
    </row>
    <row r="35">
      <c r="A35" t="inlineStr">
        <is>
          <t>Toplam satılan enerji</t>
        </is>
      </c>
      <c r="B35" t="inlineStr">
        <is>
          <t>MWh</t>
        </is>
      </c>
      <c r="C35" t="inlineStr"/>
      <c r="D35" s="18">
        <f>SUM(F35:AR35)</f>
        <v/>
      </c>
      <c r="E35" s="18" t="n">
        <v>0</v>
      </c>
      <c r="F35" s="18">
        <f>'Uretim'!F34+'Uretim'!F26</f>
        <v/>
      </c>
      <c r="G35" s="18">
        <f>'Uretim'!G34+'Uretim'!G26</f>
        <v/>
      </c>
      <c r="H35" s="18">
        <f>'Uretim'!H34+'Uretim'!H26</f>
        <v/>
      </c>
      <c r="I35" s="18">
        <f>'Uretim'!I34+'Uretim'!I26</f>
        <v/>
      </c>
      <c r="J35" s="18">
        <f>'Uretim'!J34+'Uretim'!J26</f>
        <v/>
      </c>
      <c r="K35" s="18">
        <f>'Uretim'!K34+'Uretim'!K26</f>
        <v/>
      </c>
      <c r="L35" s="18">
        <f>'Uretim'!L34+'Uretim'!L26</f>
        <v/>
      </c>
      <c r="M35" s="18">
        <f>'Uretim'!M34+'Uretim'!M26</f>
        <v/>
      </c>
      <c r="N35" s="18">
        <f>'Uretim'!N34+'Uretim'!N26</f>
        <v/>
      </c>
      <c r="O35" s="18">
        <f>'Uretim'!O34+'Uretim'!O26</f>
        <v/>
      </c>
      <c r="P35" s="18">
        <f>'Uretim'!P34+'Uretim'!P26</f>
        <v/>
      </c>
      <c r="Q35" s="18">
        <f>'Uretim'!Q34+'Uretim'!Q26</f>
        <v/>
      </c>
      <c r="R35" s="18">
        <f>'Uretim'!R34+'Uretim'!R26</f>
        <v/>
      </c>
      <c r="S35" s="18">
        <f>'Uretim'!S34+'Uretim'!S26</f>
        <v/>
      </c>
      <c r="T35" s="18">
        <f>'Uretim'!T34+'Uretim'!T26</f>
        <v/>
      </c>
      <c r="U35" s="18">
        <f>'Uretim'!U34+'Uretim'!U26</f>
        <v/>
      </c>
      <c r="V35" s="18">
        <f>'Uretim'!V34+'Uretim'!V26</f>
        <v/>
      </c>
      <c r="W35" s="18">
        <f>'Uretim'!W34+'Uretim'!W26</f>
        <v/>
      </c>
      <c r="X35" s="18">
        <f>'Uretim'!X34+'Uretim'!X26</f>
        <v/>
      </c>
      <c r="Y35" s="18">
        <f>'Uretim'!Y34+'Uretim'!Y26</f>
        <v/>
      </c>
      <c r="Z35" s="18">
        <f>'Uretim'!Z34+'Uretim'!Z26</f>
        <v/>
      </c>
      <c r="AA35" s="18">
        <f>'Uretim'!AA34+'Uretim'!AA26</f>
        <v/>
      </c>
      <c r="AB35" s="18">
        <f>'Uretim'!AB34+'Uretim'!AB26</f>
        <v/>
      </c>
      <c r="AC35" s="18">
        <f>'Uretim'!AC34+'Uretim'!AC26</f>
        <v/>
      </c>
      <c r="AD35" s="18">
        <f>'Uretim'!AD34+'Uretim'!AD26</f>
        <v/>
      </c>
      <c r="AE35" s="18">
        <f>'Uretim'!AE34+'Uretim'!AE26</f>
        <v/>
      </c>
      <c r="AF35" s="18">
        <f>'Uretim'!AF34+'Uretim'!AF26</f>
        <v/>
      </c>
      <c r="AG35" s="18">
        <f>'Uretim'!AG34+'Uretim'!AG26</f>
        <v/>
      </c>
      <c r="AH35" s="18">
        <f>'Uretim'!AH34+'Uretim'!AH26</f>
        <v/>
      </c>
      <c r="AI35" s="18">
        <f>'Uretim'!AI34+'Uretim'!AI26</f>
        <v/>
      </c>
      <c r="AJ35" s="18">
        <f>'Uretim'!AJ34+'Uretim'!AJ26</f>
        <v/>
      </c>
      <c r="AK35" s="18">
        <f>'Uretim'!AK34+'Uretim'!AK26</f>
        <v/>
      </c>
      <c r="AL35" s="18">
        <f>'Uretim'!AL34+'Uretim'!AL26</f>
        <v/>
      </c>
      <c r="AM35" s="18">
        <f>'Uretim'!AM34+'Uretim'!AM26</f>
        <v/>
      </c>
      <c r="AN35" s="18">
        <f>'Uretim'!AN34+'Uretim'!AN26</f>
        <v/>
      </c>
      <c r="AO35" s="18">
        <f>'Uretim'!AO34+'Uretim'!AO26</f>
        <v/>
      </c>
      <c r="AP35" s="18">
        <f>'Uretim'!AP34+'Uretim'!AP26</f>
        <v/>
      </c>
      <c r="AQ35" s="18">
        <f>'Uretim'!AQ34+'Uretim'!AQ26</f>
        <v/>
      </c>
      <c r="AR35" s="18">
        <f>'Uretim'!AR34+'Uretim'!AR26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40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9" t="inlineStr">
        <is>
          <t>Gelir</t>
        </is>
      </c>
    </row>
    <row r="2"/>
    <row r="3"/>
    <row r="4">
      <c r="A4" s="8" t="inlineStr">
        <is>
          <t>Kalem</t>
        </is>
      </c>
      <c r="B4" s="8" t="inlineStr">
        <is>
          <t>Birim</t>
        </is>
      </c>
      <c r="C4" s="8" t="inlineStr">
        <is>
          <t>Not / kaynak</t>
        </is>
      </c>
      <c r="D4" s="8" t="inlineStr">
        <is>
          <t>Toplam / değer</t>
        </is>
      </c>
      <c r="E4" s="8" t="inlineStr">
        <is>
          <t>t0 (bugün)</t>
        </is>
      </c>
      <c r="F4" s="8" t="n">
        <v>2026</v>
      </c>
      <c r="G4" s="8" t="n">
        <v>2027</v>
      </c>
      <c r="H4" s="8" t="n">
        <v>2028</v>
      </c>
      <c r="I4" s="8" t="n">
        <v>2029</v>
      </c>
      <c r="J4" s="8" t="n">
        <v>2030</v>
      </c>
      <c r="K4" s="8" t="n">
        <v>2031</v>
      </c>
      <c r="L4" s="8" t="n">
        <v>2032</v>
      </c>
      <c r="M4" s="8" t="n">
        <v>2033</v>
      </c>
      <c r="N4" s="8" t="n">
        <v>2034</v>
      </c>
      <c r="O4" s="8" t="n">
        <v>2035</v>
      </c>
      <c r="P4" s="8" t="n">
        <v>2036</v>
      </c>
      <c r="Q4" s="8" t="n">
        <v>2037</v>
      </c>
      <c r="R4" s="8" t="n">
        <v>2038</v>
      </c>
      <c r="S4" s="8" t="n">
        <v>2039</v>
      </c>
      <c r="T4" s="8" t="n">
        <v>2040</v>
      </c>
      <c r="U4" s="8" t="n">
        <v>2041</v>
      </c>
      <c r="V4" s="8" t="n">
        <v>2042</v>
      </c>
      <c r="W4" s="8" t="n">
        <v>2043</v>
      </c>
      <c r="X4" s="8" t="n">
        <v>2044</v>
      </c>
      <c r="Y4" s="8" t="n">
        <v>2045</v>
      </c>
      <c r="Z4" s="8" t="n">
        <v>2046</v>
      </c>
      <c r="AA4" s="8" t="n">
        <v>2047</v>
      </c>
      <c r="AB4" s="8" t="n">
        <v>2048</v>
      </c>
      <c r="AC4" s="8" t="n">
        <v>2049</v>
      </c>
      <c r="AD4" s="8" t="n">
        <v>2050</v>
      </c>
      <c r="AE4" s="8" t="n">
        <v>2051</v>
      </c>
      <c r="AF4" s="8" t="n">
        <v>2052</v>
      </c>
      <c r="AG4" s="8" t="n">
        <v>2053</v>
      </c>
      <c r="AH4" s="8" t="n">
        <v>2054</v>
      </c>
      <c r="AI4" s="8" t="n">
        <v>2055</v>
      </c>
      <c r="AJ4" s="8" t="n">
        <v>2056</v>
      </c>
      <c r="AK4" s="8" t="n">
        <v>2057</v>
      </c>
      <c r="AL4" s="8" t="n">
        <v>2058</v>
      </c>
      <c r="AM4" s="8" t="n">
        <v>2059</v>
      </c>
      <c r="AN4" s="8" t="n">
        <v>2060</v>
      </c>
      <c r="AO4" s="8" t="n">
        <v>2061</v>
      </c>
      <c r="AP4" s="8" t="n">
        <v>2062</v>
      </c>
      <c r="AQ4" s="8" t="n">
        <v>2063</v>
      </c>
      <c r="AR4" s="8" t="n">
        <v>2064</v>
      </c>
    </row>
    <row r="5"/>
    <row r="6"/>
    <row r="7">
      <c r="A7" s="26" t="inlineStr">
        <is>
          <t>— Blok: seçilen üretim durumu —</t>
        </is>
      </c>
    </row>
    <row r="8">
      <c r="A8" t="inlineStr">
        <is>
          <t>RES geliri (tüccar + sözleşmeli, kesinti sonrası)</t>
        </is>
      </c>
      <c r="B8" t="inlineStr">
        <is>
          <t>USD</t>
        </is>
      </c>
      <c r="C8" t="inlineStr"/>
      <c r="D8" s="18">
        <f>SUM(F8:AR8)</f>
        <v/>
      </c>
      <c r="E8" s="18" t="n">
        <v>0</v>
      </c>
      <c r="F8" s="18">
        <f>((1-'Zaman'!F16)*Girdiler!$C$18*'Uretim'!F8+'Zaman'!F16*'Zaman'!F17*'Uretim'!F9)*(1-'Uretim'!F17)</f>
        <v/>
      </c>
      <c r="G8" s="18">
        <f>((1-'Zaman'!G16)*Girdiler!$C$18*'Uretim'!G8+'Zaman'!G16*'Zaman'!G17*'Uretim'!G9)*(1-'Uretim'!G17)</f>
        <v/>
      </c>
      <c r="H8" s="18">
        <f>((1-'Zaman'!H16)*Girdiler!$C$18*'Uretim'!H8+'Zaman'!H16*'Zaman'!H17*'Uretim'!H9)*(1-'Uretim'!H17)</f>
        <v/>
      </c>
      <c r="I8" s="18">
        <f>((1-'Zaman'!I16)*Girdiler!$C$18*'Uretim'!I8+'Zaman'!I16*'Zaman'!I17*'Uretim'!I9)*(1-'Uretim'!I17)</f>
        <v/>
      </c>
      <c r="J8" s="18">
        <f>((1-'Zaman'!J16)*Girdiler!$C$18*'Uretim'!J8+'Zaman'!J16*'Zaman'!J17*'Uretim'!J9)*(1-'Uretim'!J17)</f>
        <v/>
      </c>
      <c r="K8" s="18">
        <f>((1-'Zaman'!K16)*Girdiler!$C$18*'Uretim'!K8+'Zaman'!K16*'Zaman'!K17*'Uretim'!K9)*(1-'Uretim'!K17)</f>
        <v/>
      </c>
      <c r="L8" s="18">
        <f>((1-'Zaman'!L16)*Girdiler!$C$18*'Uretim'!L8+'Zaman'!L16*'Zaman'!L17*'Uretim'!L9)*(1-'Uretim'!L17)</f>
        <v/>
      </c>
      <c r="M8" s="18">
        <f>((1-'Zaman'!M16)*Girdiler!$C$18*'Uretim'!M8+'Zaman'!M16*'Zaman'!M17*'Uretim'!M9)*(1-'Uretim'!M17)</f>
        <v/>
      </c>
      <c r="N8" s="18">
        <f>((1-'Zaman'!N16)*Girdiler!$C$18*'Uretim'!N8+'Zaman'!N16*'Zaman'!N17*'Uretim'!N9)*(1-'Uretim'!N17)</f>
        <v/>
      </c>
      <c r="O8" s="18">
        <f>((1-'Zaman'!O16)*Girdiler!$C$18*'Uretim'!O8+'Zaman'!O16*'Zaman'!O17*'Uretim'!O9)*(1-'Uretim'!O17)</f>
        <v/>
      </c>
      <c r="P8" s="18">
        <f>((1-'Zaman'!P16)*Girdiler!$C$18*'Uretim'!P8+'Zaman'!P16*'Zaman'!P17*'Uretim'!P9)*(1-'Uretim'!P17)</f>
        <v/>
      </c>
      <c r="Q8" s="18">
        <f>((1-'Zaman'!Q16)*Girdiler!$C$18*'Uretim'!Q8+'Zaman'!Q16*'Zaman'!Q17*'Uretim'!Q9)*(1-'Uretim'!Q17)</f>
        <v/>
      </c>
      <c r="R8" s="18">
        <f>((1-'Zaman'!R16)*Girdiler!$C$18*'Uretim'!R8+'Zaman'!R16*'Zaman'!R17*'Uretim'!R9)*(1-'Uretim'!R17)</f>
        <v/>
      </c>
      <c r="S8" s="18">
        <f>((1-'Zaman'!S16)*Girdiler!$C$18*'Uretim'!S8+'Zaman'!S16*'Zaman'!S17*'Uretim'!S9)*(1-'Uretim'!S17)</f>
        <v/>
      </c>
      <c r="T8" s="18">
        <f>((1-'Zaman'!T16)*Girdiler!$C$18*'Uretim'!T8+'Zaman'!T16*'Zaman'!T17*'Uretim'!T9)*(1-'Uretim'!T17)</f>
        <v/>
      </c>
      <c r="U8" s="18">
        <f>((1-'Zaman'!U16)*Girdiler!$C$18*'Uretim'!U8+'Zaman'!U16*'Zaman'!U17*'Uretim'!U9)*(1-'Uretim'!U17)</f>
        <v/>
      </c>
      <c r="V8" s="18">
        <f>((1-'Zaman'!V16)*Girdiler!$C$18*'Uretim'!V8+'Zaman'!V16*'Zaman'!V17*'Uretim'!V9)*(1-'Uretim'!V17)</f>
        <v/>
      </c>
      <c r="W8" s="18">
        <f>((1-'Zaman'!W16)*Girdiler!$C$18*'Uretim'!W8+'Zaman'!W16*'Zaman'!W17*'Uretim'!W9)*(1-'Uretim'!W17)</f>
        <v/>
      </c>
      <c r="X8" s="18">
        <f>((1-'Zaman'!X16)*Girdiler!$C$18*'Uretim'!X8+'Zaman'!X16*'Zaman'!X17*'Uretim'!X9)*(1-'Uretim'!X17)</f>
        <v/>
      </c>
      <c r="Y8" s="18">
        <f>((1-'Zaman'!Y16)*Girdiler!$C$18*'Uretim'!Y8+'Zaman'!Y16*'Zaman'!Y17*'Uretim'!Y9)*(1-'Uretim'!Y17)</f>
        <v/>
      </c>
      <c r="Z8" s="18">
        <f>((1-'Zaman'!Z16)*Girdiler!$C$18*'Uretim'!Z8+'Zaman'!Z16*'Zaman'!Z17*'Uretim'!Z9)*(1-'Uretim'!Z17)</f>
        <v/>
      </c>
      <c r="AA8" s="18">
        <f>((1-'Zaman'!AA16)*Girdiler!$C$18*'Uretim'!AA8+'Zaman'!AA16*'Zaman'!AA17*'Uretim'!AA9)*(1-'Uretim'!AA17)</f>
        <v/>
      </c>
      <c r="AB8" s="18">
        <f>((1-'Zaman'!AB16)*Girdiler!$C$18*'Uretim'!AB8+'Zaman'!AB16*'Zaman'!AB17*'Uretim'!AB9)*(1-'Uretim'!AB17)</f>
        <v/>
      </c>
      <c r="AC8" s="18">
        <f>((1-'Zaman'!AC16)*Girdiler!$C$18*'Uretim'!AC8+'Zaman'!AC16*'Zaman'!AC17*'Uretim'!AC9)*(1-'Uretim'!AC17)</f>
        <v/>
      </c>
      <c r="AD8" s="18">
        <f>((1-'Zaman'!AD16)*Girdiler!$C$18*'Uretim'!AD8+'Zaman'!AD16*'Zaman'!AD17*'Uretim'!AD9)*(1-'Uretim'!AD17)</f>
        <v/>
      </c>
      <c r="AE8" s="18">
        <f>((1-'Zaman'!AE16)*Girdiler!$C$18*'Uretim'!AE8+'Zaman'!AE16*'Zaman'!AE17*'Uretim'!AE9)*(1-'Uretim'!AE17)</f>
        <v/>
      </c>
      <c r="AF8" s="18">
        <f>((1-'Zaman'!AF16)*Girdiler!$C$18*'Uretim'!AF8+'Zaman'!AF16*'Zaman'!AF17*'Uretim'!AF9)*(1-'Uretim'!AF17)</f>
        <v/>
      </c>
      <c r="AG8" s="18">
        <f>((1-'Zaman'!AG16)*Girdiler!$C$18*'Uretim'!AG8+'Zaman'!AG16*'Zaman'!AG17*'Uretim'!AG9)*(1-'Uretim'!AG17)</f>
        <v/>
      </c>
      <c r="AH8" s="18">
        <f>((1-'Zaman'!AH16)*Girdiler!$C$18*'Uretim'!AH8+'Zaman'!AH16*'Zaman'!AH17*'Uretim'!AH9)*(1-'Uretim'!AH17)</f>
        <v/>
      </c>
      <c r="AI8" s="18">
        <f>((1-'Zaman'!AI16)*Girdiler!$C$18*'Uretim'!AI8+'Zaman'!AI16*'Zaman'!AI17*'Uretim'!AI9)*(1-'Uretim'!AI17)</f>
        <v/>
      </c>
      <c r="AJ8" s="18">
        <f>((1-'Zaman'!AJ16)*Girdiler!$C$18*'Uretim'!AJ8+'Zaman'!AJ16*'Zaman'!AJ17*'Uretim'!AJ9)*(1-'Uretim'!AJ17)</f>
        <v/>
      </c>
      <c r="AK8" s="18">
        <f>((1-'Zaman'!AK16)*Girdiler!$C$18*'Uretim'!AK8+'Zaman'!AK16*'Zaman'!AK17*'Uretim'!AK9)*(1-'Uretim'!AK17)</f>
        <v/>
      </c>
      <c r="AL8" s="18">
        <f>((1-'Zaman'!AL16)*Girdiler!$C$18*'Uretim'!AL8+'Zaman'!AL16*'Zaman'!AL17*'Uretim'!AL9)*(1-'Uretim'!AL17)</f>
        <v/>
      </c>
      <c r="AM8" s="18">
        <f>((1-'Zaman'!AM16)*Girdiler!$C$18*'Uretim'!AM8+'Zaman'!AM16*'Zaman'!AM17*'Uretim'!AM9)*(1-'Uretim'!AM17)</f>
        <v/>
      </c>
      <c r="AN8" s="18">
        <f>((1-'Zaman'!AN16)*Girdiler!$C$18*'Uretim'!AN8+'Zaman'!AN16*'Zaman'!AN17*'Uretim'!AN9)*(1-'Uretim'!AN17)</f>
        <v/>
      </c>
      <c r="AO8" s="18">
        <f>((1-'Zaman'!AO16)*Girdiler!$C$18*'Uretim'!AO8+'Zaman'!AO16*'Zaman'!AO17*'Uretim'!AO9)*(1-'Uretim'!AO17)</f>
        <v/>
      </c>
      <c r="AP8" s="18">
        <f>((1-'Zaman'!AP16)*Girdiler!$C$18*'Uretim'!AP8+'Zaman'!AP16*'Zaman'!AP17*'Uretim'!AP9)*(1-'Uretim'!AP17)</f>
        <v/>
      </c>
      <c r="AQ8" s="18">
        <f>((1-'Zaman'!AQ16)*Girdiler!$C$18*'Uretim'!AQ8+'Zaman'!AQ16*'Zaman'!AQ17*'Uretim'!AQ9)*(1-'Uretim'!AQ17)</f>
        <v/>
      </c>
      <c r="AR8" s="18">
        <f>((1-'Zaman'!AR16)*Girdiler!$C$18*'Uretim'!AR8+'Zaman'!AR16*'Zaman'!AR17*'Uretim'!AR9)*(1-'Uretim'!AR17)</f>
        <v/>
      </c>
    </row>
    <row r="9">
      <c r="A9" t="inlineStr">
        <is>
          <t>Batarya deşarj geliri</t>
        </is>
      </c>
      <c r="B9" t="inlineStr">
        <is>
          <t>USD</t>
        </is>
      </c>
      <c r="C9" t="inlineStr">
        <is>
          <t>YEKDEM yılında depolanıp verilen santral enerjisi YEKDEM fiyatından</t>
        </is>
      </c>
      <c r="D9" s="18">
        <f>SUM(F9:AR9)</f>
        <v/>
      </c>
      <c r="E9" s="18" t="n">
        <v>0</v>
      </c>
      <c r="F9" s="18">
        <f>IF(Girdiler!$C$91=1,(1-'Zaman'!F16)*Girdiler!$C$18*'Uretim'!F10+'Zaman'!F16*'Zaman'!F17*'Uretim'!F11,Girdiler!$C$18*'Uretim'!F10)</f>
        <v/>
      </c>
      <c r="G9" s="18">
        <f>IF(Girdiler!$C$91=1,(1-'Zaman'!G16)*Girdiler!$C$18*'Uretim'!G10+'Zaman'!G16*'Zaman'!G17*'Uretim'!G11,Girdiler!$C$18*'Uretim'!G10)</f>
        <v/>
      </c>
      <c r="H9" s="18">
        <f>IF(Girdiler!$C$91=1,(1-'Zaman'!H16)*Girdiler!$C$18*'Uretim'!H10+'Zaman'!H16*'Zaman'!H17*'Uretim'!H11,Girdiler!$C$18*'Uretim'!H10)</f>
        <v/>
      </c>
      <c r="I9" s="18">
        <f>IF(Girdiler!$C$91=1,(1-'Zaman'!I16)*Girdiler!$C$18*'Uretim'!I10+'Zaman'!I16*'Zaman'!I17*'Uretim'!I11,Girdiler!$C$18*'Uretim'!I10)</f>
        <v/>
      </c>
      <c r="J9" s="18">
        <f>IF(Girdiler!$C$91=1,(1-'Zaman'!J16)*Girdiler!$C$18*'Uretim'!J10+'Zaman'!J16*'Zaman'!J17*'Uretim'!J11,Girdiler!$C$18*'Uretim'!J10)</f>
        <v/>
      </c>
      <c r="K9" s="18">
        <f>IF(Girdiler!$C$91=1,(1-'Zaman'!K16)*Girdiler!$C$18*'Uretim'!K10+'Zaman'!K16*'Zaman'!K17*'Uretim'!K11,Girdiler!$C$18*'Uretim'!K10)</f>
        <v/>
      </c>
      <c r="L9" s="18">
        <f>IF(Girdiler!$C$91=1,(1-'Zaman'!L16)*Girdiler!$C$18*'Uretim'!L10+'Zaman'!L16*'Zaman'!L17*'Uretim'!L11,Girdiler!$C$18*'Uretim'!L10)</f>
        <v/>
      </c>
      <c r="M9" s="18">
        <f>IF(Girdiler!$C$91=1,(1-'Zaman'!M16)*Girdiler!$C$18*'Uretim'!M10+'Zaman'!M16*'Zaman'!M17*'Uretim'!M11,Girdiler!$C$18*'Uretim'!M10)</f>
        <v/>
      </c>
      <c r="N9" s="18">
        <f>IF(Girdiler!$C$91=1,(1-'Zaman'!N16)*Girdiler!$C$18*'Uretim'!N10+'Zaman'!N16*'Zaman'!N17*'Uretim'!N11,Girdiler!$C$18*'Uretim'!N10)</f>
        <v/>
      </c>
      <c r="O9" s="18">
        <f>IF(Girdiler!$C$91=1,(1-'Zaman'!O16)*Girdiler!$C$18*'Uretim'!O10+'Zaman'!O16*'Zaman'!O17*'Uretim'!O11,Girdiler!$C$18*'Uretim'!O10)</f>
        <v/>
      </c>
      <c r="P9" s="18">
        <f>IF(Girdiler!$C$91=1,(1-'Zaman'!P16)*Girdiler!$C$18*'Uretim'!P10+'Zaman'!P16*'Zaman'!P17*'Uretim'!P11,Girdiler!$C$18*'Uretim'!P10)</f>
        <v/>
      </c>
      <c r="Q9" s="18">
        <f>IF(Girdiler!$C$91=1,(1-'Zaman'!Q16)*Girdiler!$C$18*'Uretim'!Q10+'Zaman'!Q16*'Zaman'!Q17*'Uretim'!Q11,Girdiler!$C$18*'Uretim'!Q10)</f>
        <v/>
      </c>
      <c r="R9" s="18">
        <f>IF(Girdiler!$C$91=1,(1-'Zaman'!R16)*Girdiler!$C$18*'Uretim'!R10+'Zaman'!R16*'Zaman'!R17*'Uretim'!R11,Girdiler!$C$18*'Uretim'!R10)</f>
        <v/>
      </c>
      <c r="S9" s="18">
        <f>IF(Girdiler!$C$91=1,(1-'Zaman'!S16)*Girdiler!$C$18*'Uretim'!S10+'Zaman'!S16*'Zaman'!S17*'Uretim'!S11,Girdiler!$C$18*'Uretim'!S10)</f>
        <v/>
      </c>
      <c r="T9" s="18">
        <f>IF(Girdiler!$C$91=1,(1-'Zaman'!T16)*Girdiler!$C$18*'Uretim'!T10+'Zaman'!T16*'Zaman'!T17*'Uretim'!T11,Girdiler!$C$18*'Uretim'!T10)</f>
        <v/>
      </c>
      <c r="U9" s="18">
        <f>IF(Girdiler!$C$91=1,(1-'Zaman'!U16)*Girdiler!$C$18*'Uretim'!U10+'Zaman'!U16*'Zaman'!U17*'Uretim'!U11,Girdiler!$C$18*'Uretim'!U10)</f>
        <v/>
      </c>
      <c r="V9" s="18">
        <f>IF(Girdiler!$C$91=1,(1-'Zaman'!V16)*Girdiler!$C$18*'Uretim'!V10+'Zaman'!V16*'Zaman'!V17*'Uretim'!V11,Girdiler!$C$18*'Uretim'!V10)</f>
        <v/>
      </c>
      <c r="W9" s="18">
        <f>IF(Girdiler!$C$91=1,(1-'Zaman'!W16)*Girdiler!$C$18*'Uretim'!W10+'Zaman'!W16*'Zaman'!W17*'Uretim'!W11,Girdiler!$C$18*'Uretim'!W10)</f>
        <v/>
      </c>
      <c r="X9" s="18">
        <f>IF(Girdiler!$C$91=1,(1-'Zaman'!X16)*Girdiler!$C$18*'Uretim'!X10+'Zaman'!X16*'Zaman'!X17*'Uretim'!X11,Girdiler!$C$18*'Uretim'!X10)</f>
        <v/>
      </c>
      <c r="Y9" s="18">
        <f>IF(Girdiler!$C$91=1,(1-'Zaman'!Y16)*Girdiler!$C$18*'Uretim'!Y10+'Zaman'!Y16*'Zaman'!Y17*'Uretim'!Y11,Girdiler!$C$18*'Uretim'!Y10)</f>
        <v/>
      </c>
      <c r="Z9" s="18">
        <f>IF(Girdiler!$C$91=1,(1-'Zaman'!Z16)*Girdiler!$C$18*'Uretim'!Z10+'Zaman'!Z16*'Zaman'!Z17*'Uretim'!Z11,Girdiler!$C$18*'Uretim'!Z10)</f>
        <v/>
      </c>
      <c r="AA9" s="18">
        <f>IF(Girdiler!$C$91=1,(1-'Zaman'!AA16)*Girdiler!$C$18*'Uretim'!AA10+'Zaman'!AA16*'Zaman'!AA17*'Uretim'!AA11,Girdiler!$C$18*'Uretim'!AA10)</f>
        <v/>
      </c>
      <c r="AB9" s="18">
        <f>IF(Girdiler!$C$91=1,(1-'Zaman'!AB16)*Girdiler!$C$18*'Uretim'!AB10+'Zaman'!AB16*'Zaman'!AB17*'Uretim'!AB11,Girdiler!$C$18*'Uretim'!AB10)</f>
        <v/>
      </c>
      <c r="AC9" s="18">
        <f>IF(Girdiler!$C$91=1,(1-'Zaman'!AC16)*Girdiler!$C$18*'Uretim'!AC10+'Zaman'!AC16*'Zaman'!AC17*'Uretim'!AC11,Girdiler!$C$18*'Uretim'!AC10)</f>
        <v/>
      </c>
      <c r="AD9" s="18">
        <f>IF(Girdiler!$C$91=1,(1-'Zaman'!AD16)*Girdiler!$C$18*'Uretim'!AD10+'Zaman'!AD16*'Zaman'!AD17*'Uretim'!AD11,Girdiler!$C$18*'Uretim'!AD10)</f>
        <v/>
      </c>
      <c r="AE9" s="18">
        <f>IF(Girdiler!$C$91=1,(1-'Zaman'!AE16)*Girdiler!$C$18*'Uretim'!AE10+'Zaman'!AE16*'Zaman'!AE17*'Uretim'!AE11,Girdiler!$C$18*'Uretim'!AE10)</f>
        <v/>
      </c>
      <c r="AF9" s="18">
        <f>IF(Girdiler!$C$91=1,(1-'Zaman'!AF16)*Girdiler!$C$18*'Uretim'!AF10+'Zaman'!AF16*'Zaman'!AF17*'Uretim'!AF11,Girdiler!$C$18*'Uretim'!AF10)</f>
        <v/>
      </c>
      <c r="AG9" s="18">
        <f>IF(Girdiler!$C$91=1,(1-'Zaman'!AG16)*Girdiler!$C$18*'Uretim'!AG10+'Zaman'!AG16*'Zaman'!AG17*'Uretim'!AG11,Girdiler!$C$18*'Uretim'!AG10)</f>
        <v/>
      </c>
      <c r="AH9" s="18">
        <f>IF(Girdiler!$C$91=1,(1-'Zaman'!AH16)*Girdiler!$C$18*'Uretim'!AH10+'Zaman'!AH16*'Zaman'!AH17*'Uretim'!AH11,Girdiler!$C$18*'Uretim'!AH10)</f>
        <v/>
      </c>
      <c r="AI9" s="18">
        <f>IF(Girdiler!$C$91=1,(1-'Zaman'!AI16)*Girdiler!$C$18*'Uretim'!AI10+'Zaman'!AI16*'Zaman'!AI17*'Uretim'!AI11,Girdiler!$C$18*'Uretim'!AI10)</f>
        <v/>
      </c>
      <c r="AJ9" s="18">
        <f>IF(Girdiler!$C$91=1,(1-'Zaman'!AJ16)*Girdiler!$C$18*'Uretim'!AJ10+'Zaman'!AJ16*'Zaman'!AJ17*'Uretim'!AJ11,Girdiler!$C$18*'Uretim'!AJ10)</f>
        <v/>
      </c>
      <c r="AK9" s="18">
        <f>IF(Girdiler!$C$91=1,(1-'Zaman'!AK16)*Girdiler!$C$18*'Uretim'!AK10+'Zaman'!AK16*'Zaman'!AK17*'Uretim'!AK11,Girdiler!$C$18*'Uretim'!AK10)</f>
        <v/>
      </c>
      <c r="AL9" s="18">
        <f>IF(Girdiler!$C$91=1,(1-'Zaman'!AL16)*Girdiler!$C$18*'Uretim'!AL10+'Zaman'!AL16*'Zaman'!AL17*'Uretim'!AL11,Girdiler!$C$18*'Uretim'!AL10)</f>
        <v/>
      </c>
      <c r="AM9" s="18">
        <f>IF(Girdiler!$C$91=1,(1-'Zaman'!AM16)*Girdiler!$C$18*'Uretim'!AM10+'Zaman'!AM16*'Zaman'!AM17*'Uretim'!AM11,Girdiler!$C$18*'Uretim'!AM10)</f>
        <v/>
      </c>
      <c r="AN9" s="18">
        <f>IF(Girdiler!$C$91=1,(1-'Zaman'!AN16)*Girdiler!$C$18*'Uretim'!AN10+'Zaman'!AN16*'Zaman'!AN17*'Uretim'!AN11,Girdiler!$C$18*'Uretim'!AN10)</f>
        <v/>
      </c>
      <c r="AO9" s="18">
        <f>IF(Girdiler!$C$91=1,(1-'Zaman'!AO16)*Girdiler!$C$18*'Uretim'!AO10+'Zaman'!AO16*'Zaman'!AO17*'Uretim'!AO11,Girdiler!$C$18*'Uretim'!AO10)</f>
        <v/>
      </c>
      <c r="AP9" s="18">
        <f>IF(Girdiler!$C$91=1,(1-'Zaman'!AP16)*Girdiler!$C$18*'Uretim'!AP10+'Zaman'!AP16*'Zaman'!AP17*'Uretim'!AP11,Girdiler!$C$18*'Uretim'!AP10)</f>
        <v/>
      </c>
      <c r="AQ9" s="18">
        <f>IF(Girdiler!$C$91=1,(1-'Zaman'!AQ16)*Girdiler!$C$18*'Uretim'!AQ10+'Zaman'!AQ16*'Zaman'!AQ17*'Uretim'!AQ11,Girdiler!$C$18*'Uretim'!AQ10)</f>
        <v/>
      </c>
      <c r="AR9" s="18">
        <f>IF(Girdiler!$C$91=1,(1-'Zaman'!AR16)*Girdiler!$C$18*'Uretim'!AR10+'Zaman'!AR16*'Zaman'!AR17*'Uretim'!AR11,Girdiler!$C$18*'Uretim'!AR10)</f>
        <v/>
      </c>
    </row>
    <row r="10">
      <c r="A10" t="inlineStr">
        <is>
          <t>SFK kapasite geliri</t>
        </is>
      </c>
      <c r="B10" t="inlineStr">
        <is>
          <t>USD</t>
        </is>
      </c>
      <c r="C10" t="inlineStr"/>
      <c r="D10" s="18">
        <f>SUM(F10:AR10)</f>
        <v/>
      </c>
      <c r="E10" s="18" t="n">
        <v>0</v>
      </c>
      <c r="F10" s="18">
        <f>IF('Zaman'!F13=1,INDEX(Python_girdileri!$C$6:$C$35,'Zaman'!F9)*'Uretim'!F12,0)</f>
        <v/>
      </c>
      <c r="G10" s="18">
        <f>IF('Zaman'!G13=1,INDEX(Python_girdileri!$C$6:$C$35,'Zaman'!G9)*'Uretim'!G12,0)</f>
        <v/>
      </c>
      <c r="H10" s="18">
        <f>IF('Zaman'!H13=1,INDEX(Python_girdileri!$C$6:$C$35,'Zaman'!H9)*'Uretim'!H12,0)</f>
        <v/>
      </c>
      <c r="I10" s="18">
        <f>IF('Zaman'!I13=1,INDEX(Python_girdileri!$C$6:$C$35,'Zaman'!I9)*'Uretim'!I12,0)</f>
        <v/>
      </c>
      <c r="J10" s="18">
        <f>IF('Zaman'!J13=1,INDEX(Python_girdileri!$C$6:$C$35,'Zaman'!J9)*'Uretim'!J12,0)</f>
        <v/>
      </c>
      <c r="K10" s="18">
        <f>IF('Zaman'!K13=1,INDEX(Python_girdileri!$C$6:$C$35,'Zaman'!K9)*'Uretim'!K12,0)</f>
        <v/>
      </c>
      <c r="L10" s="18">
        <f>IF('Zaman'!L13=1,INDEX(Python_girdileri!$C$6:$C$35,'Zaman'!L9)*'Uretim'!L12,0)</f>
        <v/>
      </c>
      <c r="M10" s="18">
        <f>IF('Zaman'!M13=1,INDEX(Python_girdileri!$C$6:$C$35,'Zaman'!M9)*'Uretim'!M12,0)</f>
        <v/>
      </c>
      <c r="N10" s="18">
        <f>IF('Zaman'!N13=1,INDEX(Python_girdileri!$C$6:$C$35,'Zaman'!N9)*'Uretim'!N12,0)</f>
        <v/>
      </c>
      <c r="O10" s="18">
        <f>IF('Zaman'!O13=1,INDEX(Python_girdileri!$C$6:$C$35,'Zaman'!O9)*'Uretim'!O12,0)</f>
        <v/>
      </c>
      <c r="P10" s="18">
        <f>IF('Zaman'!P13=1,INDEX(Python_girdileri!$C$6:$C$35,'Zaman'!P9)*'Uretim'!P12,0)</f>
        <v/>
      </c>
      <c r="Q10" s="18">
        <f>IF('Zaman'!Q13=1,INDEX(Python_girdileri!$C$6:$C$35,'Zaman'!Q9)*'Uretim'!Q12,0)</f>
        <v/>
      </c>
      <c r="R10" s="18">
        <f>IF('Zaman'!R13=1,INDEX(Python_girdileri!$C$6:$C$35,'Zaman'!R9)*'Uretim'!R12,0)</f>
        <v/>
      </c>
      <c r="S10" s="18">
        <f>IF('Zaman'!S13=1,INDEX(Python_girdileri!$C$6:$C$35,'Zaman'!S9)*'Uretim'!S12,0)</f>
        <v/>
      </c>
      <c r="T10" s="18">
        <f>IF('Zaman'!T13=1,INDEX(Python_girdileri!$C$6:$C$35,'Zaman'!T9)*'Uretim'!T12,0)</f>
        <v/>
      </c>
      <c r="U10" s="18">
        <f>IF('Zaman'!U13=1,INDEX(Python_girdileri!$C$6:$C$35,'Zaman'!U9)*'Uretim'!U12,0)</f>
        <v/>
      </c>
      <c r="V10" s="18">
        <f>IF('Zaman'!V13=1,INDEX(Python_girdileri!$C$6:$C$35,'Zaman'!V9)*'Uretim'!V12,0)</f>
        <v/>
      </c>
      <c r="W10" s="18">
        <f>IF('Zaman'!W13=1,INDEX(Python_girdileri!$C$6:$C$35,'Zaman'!W9)*'Uretim'!W12,0)</f>
        <v/>
      </c>
      <c r="X10" s="18">
        <f>IF('Zaman'!X13=1,INDEX(Python_girdileri!$C$6:$C$35,'Zaman'!X9)*'Uretim'!X12,0)</f>
        <v/>
      </c>
      <c r="Y10" s="18">
        <f>IF('Zaman'!Y13=1,INDEX(Python_girdileri!$C$6:$C$35,'Zaman'!Y9)*'Uretim'!Y12,0)</f>
        <v/>
      </c>
      <c r="Z10" s="18">
        <f>IF('Zaman'!Z13=1,INDEX(Python_girdileri!$C$6:$C$35,'Zaman'!Z9)*'Uretim'!Z12,0)</f>
        <v/>
      </c>
      <c r="AA10" s="18">
        <f>IF('Zaman'!AA13=1,INDEX(Python_girdileri!$C$6:$C$35,'Zaman'!AA9)*'Uretim'!AA12,0)</f>
        <v/>
      </c>
      <c r="AB10" s="18">
        <f>IF('Zaman'!AB13=1,INDEX(Python_girdileri!$C$6:$C$35,'Zaman'!AB9)*'Uretim'!AB12,0)</f>
        <v/>
      </c>
      <c r="AC10" s="18">
        <f>IF('Zaman'!AC13=1,INDEX(Python_girdileri!$C$6:$C$35,'Zaman'!AC9)*'Uretim'!AC12,0)</f>
        <v/>
      </c>
      <c r="AD10" s="18">
        <f>IF('Zaman'!AD13=1,INDEX(Python_girdileri!$C$6:$C$35,'Zaman'!AD9)*'Uretim'!AD12,0)</f>
        <v/>
      </c>
      <c r="AE10" s="18">
        <f>IF('Zaman'!AE13=1,INDEX(Python_girdileri!$C$6:$C$35,'Zaman'!AE9)*'Uretim'!AE12,0)</f>
        <v/>
      </c>
      <c r="AF10" s="18">
        <f>IF('Zaman'!AF13=1,INDEX(Python_girdileri!$C$6:$C$35,'Zaman'!AF9)*'Uretim'!AF12,0)</f>
        <v/>
      </c>
      <c r="AG10" s="18">
        <f>IF('Zaman'!AG13=1,INDEX(Python_girdileri!$C$6:$C$35,'Zaman'!AG9)*'Uretim'!AG12,0)</f>
        <v/>
      </c>
      <c r="AH10" s="18">
        <f>IF('Zaman'!AH13=1,INDEX(Python_girdileri!$C$6:$C$35,'Zaman'!AH9)*'Uretim'!AH12,0)</f>
        <v/>
      </c>
      <c r="AI10" s="18">
        <f>IF('Zaman'!AI13=1,INDEX(Python_girdileri!$C$6:$C$35,'Zaman'!AI9)*'Uretim'!AI12,0)</f>
        <v/>
      </c>
      <c r="AJ10" s="18">
        <f>IF('Zaman'!AJ13=1,INDEX(Python_girdileri!$C$6:$C$35,'Zaman'!AJ9)*'Uretim'!AJ12,0)</f>
        <v/>
      </c>
      <c r="AK10" s="18">
        <f>IF('Zaman'!AK13=1,INDEX(Python_girdileri!$C$6:$C$35,'Zaman'!AK9)*'Uretim'!AK12,0)</f>
        <v/>
      </c>
      <c r="AL10" s="18">
        <f>IF('Zaman'!AL13=1,INDEX(Python_girdileri!$C$6:$C$35,'Zaman'!AL9)*'Uretim'!AL12,0)</f>
        <v/>
      </c>
      <c r="AM10" s="18">
        <f>IF('Zaman'!AM13=1,INDEX(Python_girdileri!$C$6:$C$35,'Zaman'!AM9)*'Uretim'!AM12,0)</f>
        <v/>
      </c>
      <c r="AN10" s="18">
        <f>IF('Zaman'!AN13=1,INDEX(Python_girdileri!$C$6:$C$35,'Zaman'!AN9)*'Uretim'!AN12,0)</f>
        <v/>
      </c>
      <c r="AO10" s="18">
        <f>IF('Zaman'!AO13=1,INDEX(Python_girdileri!$C$6:$C$35,'Zaman'!AO9)*'Uretim'!AO12,0)</f>
        <v/>
      </c>
      <c r="AP10" s="18">
        <f>IF('Zaman'!AP13=1,INDEX(Python_girdileri!$C$6:$C$35,'Zaman'!AP9)*'Uretim'!AP12,0)</f>
        <v/>
      </c>
      <c r="AQ10" s="18">
        <f>IF('Zaman'!AQ13=1,INDEX(Python_girdileri!$C$6:$C$35,'Zaman'!AQ9)*'Uretim'!AQ12,0)</f>
        <v/>
      </c>
      <c r="AR10" s="18">
        <f>IF('Zaman'!AR13=1,INDEX(Python_girdileri!$C$6:$C$35,'Zaman'!AR9)*'Uretim'!AR12,0)</f>
        <v/>
      </c>
    </row>
    <row r="11">
      <c r="A11" t="inlineStr">
        <is>
          <t>YEK-G geliri</t>
        </is>
      </c>
      <c r="B11" t="inlineStr">
        <is>
          <t>USD</t>
        </is>
      </c>
      <c r="C11" t="inlineStr"/>
      <c r="D11" s="18">
        <f>SUM(F11:AR11)</f>
        <v/>
      </c>
      <c r="E11" s="18" t="n">
        <v>0</v>
      </c>
      <c r="F11" s="18">
        <f>Girdiler!$C$48*'Uretim'!F20</f>
        <v/>
      </c>
      <c r="G11" s="18">
        <f>Girdiler!$C$48*'Uretim'!G20</f>
        <v/>
      </c>
      <c r="H11" s="18">
        <f>Girdiler!$C$48*'Uretim'!H20</f>
        <v/>
      </c>
      <c r="I11" s="18">
        <f>Girdiler!$C$48*'Uretim'!I20</f>
        <v/>
      </c>
      <c r="J11" s="18">
        <f>Girdiler!$C$48*'Uretim'!J20</f>
        <v/>
      </c>
      <c r="K11" s="18">
        <f>Girdiler!$C$48*'Uretim'!K20</f>
        <v/>
      </c>
      <c r="L11" s="18">
        <f>Girdiler!$C$48*'Uretim'!L20</f>
        <v/>
      </c>
      <c r="M11" s="18">
        <f>Girdiler!$C$48*'Uretim'!M20</f>
        <v/>
      </c>
      <c r="N11" s="18">
        <f>Girdiler!$C$48*'Uretim'!N20</f>
        <v/>
      </c>
      <c r="O11" s="18">
        <f>Girdiler!$C$48*'Uretim'!O20</f>
        <v/>
      </c>
      <c r="P11" s="18">
        <f>Girdiler!$C$48*'Uretim'!P20</f>
        <v/>
      </c>
      <c r="Q11" s="18">
        <f>Girdiler!$C$48*'Uretim'!Q20</f>
        <v/>
      </c>
      <c r="R11" s="18">
        <f>Girdiler!$C$48*'Uretim'!R20</f>
        <v/>
      </c>
      <c r="S11" s="18">
        <f>Girdiler!$C$48*'Uretim'!S20</f>
        <v/>
      </c>
      <c r="T11" s="18">
        <f>Girdiler!$C$48*'Uretim'!T20</f>
        <v/>
      </c>
      <c r="U11" s="18">
        <f>Girdiler!$C$48*'Uretim'!U20</f>
        <v/>
      </c>
      <c r="V11" s="18">
        <f>Girdiler!$C$48*'Uretim'!V20</f>
        <v/>
      </c>
      <c r="W11" s="18">
        <f>Girdiler!$C$48*'Uretim'!W20</f>
        <v/>
      </c>
      <c r="X11" s="18">
        <f>Girdiler!$C$48*'Uretim'!X20</f>
        <v/>
      </c>
      <c r="Y11" s="18">
        <f>Girdiler!$C$48*'Uretim'!Y20</f>
        <v/>
      </c>
      <c r="Z11" s="18">
        <f>Girdiler!$C$48*'Uretim'!Z20</f>
        <v/>
      </c>
      <c r="AA11" s="18">
        <f>Girdiler!$C$48*'Uretim'!AA20</f>
        <v/>
      </c>
      <c r="AB11" s="18">
        <f>Girdiler!$C$48*'Uretim'!AB20</f>
        <v/>
      </c>
      <c r="AC11" s="18">
        <f>Girdiler!$C$48*'Uretim'!AC20</f>
        <v/>
      </c>
      <c r="AD11" s="18">
        <f>Girdiler!$C$48*'Uretim'!AD20</f>
        <v/>
      </c>
      <c r="AE11" s="18">
        <f>Girdiler!$C$48*'Uretim'!AE20</f>
        <v/>
      </c>
      <c r="AF11" s="18">
        <f>Girdiler!$C$48*'Uretim'!AF20</f>
        <v/>
      </c>
      <c r="AG11" s="18">
        <f>Girdiler!$C$48*'Uretim'!AG20</f>
        <v/>
      </c>
      <c r="AH11" s="18">
        <f>Girdiler!$C$48*'Uretim'!AH20</f>
        <v/>
      </c>
      <c r="AI11" s="18">
        <f>Girdiler!$C$48*'Uretim'!AI20</f>
        <v/>
      </c>
      <c r="AJ11" s="18">
        <f>Girdiler!$C$48*'Uretim'!AJ20</f>
        <v/>
      </c>
      <c r="AK11" s="18">
        <f>Girdiler!$C$48*'Uretim'!AK20</f>
        <v/>
      </c>
      <c r="AL11" s="18">
        <f>Girdiler!$C$48*'Uretim'!AL20</f>
        <v/>
      </c>
      <c r="AM11" s="18">
        <f>Girdiler!$C$48*'Uretim'!AM20</f>
        <v/>
      </c>
      <c r="AN11" s="18">
        <f>Girdiler!$C$48*'Uretim'!AN20</f>
        <v/>
      </c>
      <c r="AO11" s="18">
        <f>Girdiler!$C$48*'Uretim'!AO20</f>
        <v/>
      </c>
      <c r="AP11" s="18">
        <f>Girdiler!$C$48*'Uretim'!AP20</f>
        <v/>
      </c>
      <c r="AQ11" s="18">
        <f>Girdiler!$C$48*'Uretim'!AQ20</f>
        <v/>
      </c>
      <c r="AR11" s="18">
        <f>Girdiler!$C$48*'Uretim'!AR20</f>
        <v/>
      </c>
    </row>
    <row r="12">
      <c r="A12" t="inlineStr">
        <is>
          <t>Batarya dengesizlik azaltımı</t>
        </is>
      </c>
      <c r="B12" t="inlineStr">
        <is>
          <t>oran</t>
        </is>
      </c>
      <c r="C12" t="inlineStr"/>
      <c r="E12" s="25" t="n">
        <v>0</v>
      </c>
      <c r="F12" s="25">
        <f>IF('Zaman'!F13=1,Girdiler!$C$49*MIN(MAX(Girdiler!$C$25-'Uretim'!F13/8760,0)/(Girdiler!$C$50*Girdiler!$C$24),1),0)</f>
        <v/>
      </c>
      <c r="G12" s="25">
        <f>IF('Zaman'!G13=1,Girdiler!$C$49*MIN(MAX(Girdiler!$C$25-'Uretim'!G13/8760,0)/(Girdiler!$C$50*Girdiler!$C$24),1),0)</f>
        <v/>
      </c>
      <c r="H12" s="25">
        <f>IF('Zaman'!H13=1,Girdiler!$C$49*MIN(MAX(Girdiler!$C$25-'Uretim'!H13/8760,0)/(Girdiler!$C$50*Girdiler!$C$24),1),0)</f>
        <v/>
      </c>
      <c r="I12" s="25">
        <f>IF('Zaman'!I13=1,Girdiler!$C$49*MIN(MAX(Girdiler!$C$25-'Uretim'!I13/8760,0)/(Girdiler!$C$50*Girdiler!$C$24),1),0)</f>
        <v/>
      </c>
      <c r="J12" s="25">
        <f>IF('Zaman'!J13=1,Girdiler!$C$49*MIN(MAX(Girdiler!$C$25-'Uretim'!J13/8760,0)/(Girdiler!$C$50*Girdiler!$C$24),1),0)</f>
        <v/>
      </c>
      <c r="K12" s="25">
        <f>IF('Zaman'!K13=1,Girdiler!$C$49*MIN(MAX(Girdiler!$C$25-'Uretim'!K13/8760,0)/(Girdiler!$C$50*Girdiler!$C$24),1),0)</f>
        <v/>
      </c>
      <c r="L12" s="25">
        <f>IF('Zaman'!L13=1,Girdiler!$C$49*MIN(MAX(Girdiler!$C$25-'Uretim'!L13/8760,0)/(Girdiler!$C$50*Girdiler!$C$24),1),0)</f>
        <v/>
      </c>
      <c r="M12" s="25">
        <f>IF('Zaman'!M13=1,Girdiler!$C$49*MIN(MAX(Girdiler!$C$25-'Uretim'!M13/8760,0)/(Girdiler!$C$50*Girdiler!$C$24),1),0)</f>
        <v/>
      </c>
      <c r="N12" s="25">
        <f>IF('Zaman'!N13=1,Girdiler!$C$49*MIN(MAX(Girdiler!$C$25-'Uretim'!N13/8760,0)/(Girdiler!$C$50*Girdiler!$C$24),1),0)</f>
        <v/>
      </c>
      <c r="O12" s="25">
        <f>IF('Zaman'!O13=1,Girdiler!$C$49*MIN(MAX(Girdiler!$C$25-'Uretim'!O13/8760,0)/(Girdiler!$C$50*Girdiler!$C$24),1),0)</f>
        <v/>
      </c>
      <c r="P12" s="25">
        <f>IF('Zaman'!P13=1,Girdiler!$C$49*MIN(MAX(Girdiler!$C$25-'Uretim'!P13/8760,0)/(Girdiler!$C$50*Girdiler!$C$24),1),0)</f>
        <v/>
      </c>
      <c r="Q12" s="25">
        <f>IF('Zaman'!Q13=1,Girdiler!$C$49*MIN(MAX(Girdiler!$C$25-'Uretim'!Q13/8760,0)/(Girdiler!$C$50*Girdiler!$C$24),1),0)</f>
        <v/>
      </c>
      <c r="R12" s="25">
        <f>IF('Zaman'!R13=1,Girdiler!$C$49*MIN(MAX(Girdiler!$C$25-'Uretim'!R13/8760,0)/(Girdiler!$C$50*Girdiler!$C$24),1),0)</f>
        <v/>
      </c>
      <c r="S12" s="25">
        <f>IF('Zaman'!S13=1,Girdiler!$C$49*MIN(MAX(Girdiler!$C$25-'Uretim'!S13/8760,0)/(Girdiler!$C$50*Girdiler!$C$24),1),0)</f>
        <v/>
      </c>
      <c r="T12" s="25">
        <f>IF('Zaman'!T13=1,Girdiler!$C$49*MIN(MAX(Girdiler!$C$25-'Uretim'!T13/8760,0)/(Girdiler!$C$50*Girdiler!$C$24),1),0)</f>
        <v/>
      </c>
      <c r="U12" s="25">
        <f>IF('Zaman'!U13=1,Girdiler!$C$49*MIN(MAX(Girdiler!$C$25-'Uretim'!U13/8760,0)/(Girdiler!$C$50*Girdiler!$C$24),1),0)</f>
        <v/>
      </c>
      <c r="V12" s="25">
        <f>IF('Zaman'!V13=1,Girdiler!$C$49*MIN(MAX(Girdiler!$C$25-'Uretim'!V13/8760,0)/(Girdiler!$C$50*Girdiler!$C$24),1),0)</f>
        <v/>
      </c>
      <c r="W12" s="25">
        <f>IF('Zaman'!W13=1,Girdiler!$C$49*MIN(MAX(Girdiler!$C$25-'Uretim'!W13/8760,0)/(Girdiler!$C$50*Girdiler!$C$24),1),0)</f>
        <v/>
      </c>
      <c r="X12" s="25">
        <f>IF('Zaman'!X13=1,Girdiler!$C$49*MIN(MAX(Girdiler!$C$25-'Uretim'!X13/8760,0)/(Girdiler!$C$50*Girdiler!$C$24),1),0)</f>
        <v/>
      </c>
      <c r="Y12" s="25">
        <f>IF('Zaman'!Y13=1,Girdiler!$C$49*MIN(MAX(Girdiler!$C$25-'Uretim'!Y13/8760,0)/(Girdiler!$C$50*Girdiler!$C$24),1),0)</f>
        <v/>
      </c>
      <c r="Z12" s="25">
        <f>IF('Zaman'!Z13=1,Girdiler!$C$49*MIN(MAX(Girdiler!$C$25-'Uretim'!Z13/8760,0)/(Girdiler!$C$50*Girdiler!$C$24),1),0)</f>
        <v/>
      </c>
      <c r="AA12" s="25">
        <f>IF('Zaman'!AA13=1,Girdiler!$C$49*MIN(MAX(Girdiler!$C$25-'Uretim'!AA13/8760,0)/(Girdiler!$C$50*Girdiler!$C$24),1),0)</f>
        <v/>
      </c>
      <c r="AB12" s="25">
        <f>IF('Zaman'!AB13=1,Girdiler!$C$49*MIN(MAX(Girdiler!$C$25-'Uretim'!AB13/8760,0)/(Girdiler!$C$50*Girdiler!$C$24),1),0)</f>
        <v/>
      </c>
      <c r="AC12" s="25">
        <f>IF('Zaman'!AC13=1,Girdiler!$C$49*MIN(MAX(Girdiler!$C$25-'Uretim'!AC13/8760,0)/(Girdiler!$C$50*Girdiler!$C$24),1),0)</f>
        <v/>
      </c>
      <c r="AD12" s="25">
        <f>IF('Zaman'!AD13=1,Girdiler!$C$49*MIN(MAX(Girdiler!$C$25-'Uretim'!AD13/8760,0)/(Girdiler!$C$50*Girdiler!$C$24),1),0)</f>
        <v/>
      </c>
      <c r="AE12" s="25">
        <f>IF('Zaman'!AE13=1,Girdiler!$C$49*MIN(MAX(Girdiler!$C$25-'Uretim'!AE13/8760,0)/(Girdiler!$C$50*Girdiler!$C$24),1),0)</f>
        <v/>
      </c>
      <c r="AF12" s="25">
        <f>IF('Zaman'!AF13=1,Girdiler!$C$49*MIN(MAX(Girdiler!$C$25-'Uretim'!AF13/8760,0)/(Girdiler!$C$50*Girdiler!$C$24),1),0)</f>
        <v/>
      </c>
      <c r="AG12" s="25">
        <f>IF('Zaman'!AG13=1,Girdiler!$C$49*MIN(MAX(Girdiler!$C$25-'Uretim'!AG13/8760,0)/(Girdiler!$C$50*Girdiler!$C$24),1),0)</f>
        <v/>
      </c>
      <c r="AH12" s="25">
        <f>IF('Zaman'!AH13=1,Girdiler!$C$49*MIN(MAX(Girdiler!$C$25-'Uretim'!AH13/8760,0)/(Girdiler!$C$50*Girdiler!$C$24),1),0)</f>
        <v/>
      </c>
      <c r="AI12" s="25">
        <f>IF('Zaman'!AI13=1,Girdiler!$C$49*MIN(MAX(Girdiler!$C$25-'Uretim'!AI13/8760,0)/(Girdiler!$C$50*Girdiler!$C$24),1),0)</f>
        <v/>
      </c>
      <c r="AJ12" s="25">
        <f>IF('Zaman'!AJ13=1,Girdiler!$C$49*MIN(MAX(Girdiler!$C$25-'Uretim'!AJ13/8760,0)/(Girdiler!$C$50*Girdiler!$C$24),1),0)</f>
        <v/>
      </c>
      <c r="AK12" s="25">
        <f>IF('Zaman'!AK13=1,Girdiler!$C$49*MIN(MAX(Girdiler!$C$25-'Uretim'!AK13/8760,0)/(Girdiler!$C$50*Girdiler!$C$24),1),0)</f>
        <v/>
      </c>
      <c r="AL12" s="25">
        <f>IF('Zaman'!AL13=1,Girdiler!$C$49*MIN(MAX(Girdiler!$C$25-'Uretim'!AL13/8760,0)/(Girdiler!$C$50*Girdiler!$C$24),1),0)</f>
        <v/>
      </c>
      <c r="AM12" s="25">
        <f>IF('Zaman'!AM13=1,Girdiler!$C$49*MIN(MAX(Girdiler!$C$25-'Uretim'!AM13/8760,0)/(Girdiler!$C$50*Girdiler!$C$24),1),0)</f>
        <v/>
      </c>
      <c r="AN12" s="25">
        <f>IF('Zaman'!AN13=1,Girdiler!$C$49*MIN(MAX(Girdiler!$C$25-'Uretim'!AN13/8760,0)/(Girdiler!$C$50*Girdiler!$C$24),1),0)</f>
        <v/>
      </c>
      <c r="AO12" s="25">
        <f>IF('Zaman'!AO13=1,Girdiler!$C$49*MIN(MAX(Girdiler!$C$25-'Uretim'!AO13/8760,0)/(Girdiler!$C$50*Girdiler!$C$24),1),0)</f>
        <v/>
      </c>
      <c r="AP12" s="25">
        <f>IF('Zaman'!AP13=1,Girdiler!$C$49*MIN(MAX(Girdiler!$C$25-'Uretim'!AP13/8760,0)/(Girdiler!$C$50*Girdiler!$C$24),1),0)</f>
        <v/>
      </c>
      <c r="AQ12" s="25">
        <f>IF('Zaman'!AQ13=1,Girdiler!$C$49*MIN(MAX(Girdiler!$C$25-'Uretim'!AQ13/8760,0)/(Girdiler!$C$50*Girdiler!$C$24),1),0)</f>
        <v/>
      </c>
      <c r="AR12" s="25">
        <f>IF('Zaman'!AR13=1,Girdiler!$C$49*MIN(MAX(Girdiler!$C$25-'Uretim'!AR13/8760,0)/(Girdiler!$C$50*Girdiler!$C$24),1),0)</f>
        <v/>
      </c>
    </row>
    <row r="13">
      <c r="A13" t="inlineStr">
        <is>
          <t>Eşzamanlılık düzeltmesi</t>
        </is>
      </c>
      <c r="B13" t="inlineStr">
        <is>
          <t>USD</t>
        </is>
      </c>
      <c r="C13" t="inlineStr"/>
      <c r="D13" s="18">
        <f>SUM(F13:AR13)</f>
        <v/>
      </c>
      <c r="E13" s="18" t="n">
        <v>0</v>
      </c>
      <c r="F13" s="18">
        <f>Girdiler!$C$47*Girdiler!$C$18*'Uretim'!F19*(1-'Zaman'!F16)</f>
        <v/>
      </c>
      <c r="G13" s="18">
        <f>Girdiler!$C$47*Girdiler!$C$18*'Uretim'!G19*(1-'Zaman'!G16)</f>
        <v/>
      </c>
      <c r="H13" s="18">
        <f>Girdiler!$C$47*Girdiler!$C$18*'Uretim'!H19*(1-'Zaman'!H16)</f>
        <v/>
      </c>
      <c r="I13" s="18">
        <f>Girdiler!$C$47*Girdiler!$C$18*'Uretim'!I19*(1-'Zaman'!I16)</f>
        <v/>
      </c>
      <c r="J13" s="18">
        <f>Girdiler!$C$47*Girdiler!$C$18*'Uretim'!J19*(1-'Zaman'!J16)</f>
        <v/>
      </c>
      <c r="K13" s="18">
        <f>Girdiler!$C$47*Girdiler!$C$18*'Uretim'!K19*(1-'Zaman'!K16)</f>
        <v/>
      </c>
      <c r="L13" s="18">
        <f>Girdiler!$C$47*Girdiler!$C$18*'Uretim'!L19*(1-'Zaman'!L16)</f>
        <v/>
      </c>
      <c r="M13" s="18">
        <f>Girdiler!$C$47*Girdiler!$C$18*'Uretim'!M19*(1-'Zaman'!M16)</f>
        <v/>
      </c>
      <c r="N13" s="18">
        <f>Girdiler!$C$47*Girdiler!$C$18*'Uretim'!N19*(1-'Zaman'!N16)</f>
        <v/>
      </c>
      <c r="O13" s="18">
        <f>Girdiler!$C$47*Girdiler!$C$18*'Uretim'!O19*(1-'Zaman'!O16)</f>
        <v/>
      </c>
      <c r="P13" s="18">
        <f>Girdiler!$C$47*Girdiler!$C$18*'Uretim'!P19*(1-'Zaman'!P16)</f>
        <v/>
      </c>
      <c r="Q13" s="18">
        <f>Girdiler!$C$47*Girdiler!$C$18*'Uretim'!Q19*(1-'Zaman'!Q16)</f>
        <v/>
      </c>
      <c r="R13" s="18">
        <f>Girdiler!$C$47*Girdiler!$C$18*'Uretim'!R19*(1-'Zaman'!R16)</f>
        <v/>
      </c>
      <c r="S13" s="18">
        <f>Girdiler!$C$47*Girdiler!$C$18*'Uretim'!S19*(1-'Zaman'!S16)</f>
        <v/>
      </c>
      <c r="T13" s="18">
        <f>Girdiler!$C$47*Girdiler!$C$18*'Uretim'!T19*(1-'Zaman'!T16)</f>
        <v/>
      </c>
      <c r="U13" s="18">
        <f>Girdiler!$C$47*Girdiler!$C$18*'Uretim'!U19*(1-'Zaman'!U16)</f>
        <v/>
      </c>
      <c r="V13" s="18">
        <f>Girdiler!$C$47*Girdiler!$C$18*'Uretim'!V19*(1-'Zaman'!V16)</f>
        <v/>
      </c>
      <c r="W13" s="18">
        <f>Girdiler!$C$47*Girdiler!$C$18*'Uretim'!W19*(1-'Zaman'!W16)</f>
        <v/>
      </c>
      <c r="X13" s="18">
        <f>Girdiler!$C$47*Girdiler!$C$18*'Uretim'!X19*(1-'Zaman'!X16)</f>
        <v/>
      </c>
      <c r="Y13" s="18">
        <f>Girdiler!$C$47*Girdiler!$C$18*'Uretim'!Y19*(1-'Zaman'!Y16)</f>
        <v/>
      </c>
      <c r="Z13" s="18">
        <f>Girdiler!$C$47*Girdiler!$C$18*'Uretim'!Z19*(1-'Zaman'!Z16)</f>
        <v/>
      </c>
      <c r="AA13" s="18">
        <f>Girdiler!$C$47*Girdiler!$C$18*'Uretim'!AA19*(1-'Zaman'!AA16)</f>
        <v/>
      </c>
      <c r="AB13" s="18">
        <f>Girdiler!$C$47*Girdiler!$C$18*'Uretim'!AB19*(1-'Zaman'!AB16)</f>
        <v/>
      </c>
      <c r="AC13" s="18">
        <f>Girdiler!$C$47*Girdiler!$C$18*'Uretim'!AC19*(1-'Zaman'!AC16)</f>
        <v/>
      </c>
      <c r="AD13" s="18">
        <f>Girdiler!$C$47*Girdiler!$C$18*'Uretim'!AD19*(1-'Zaman'!AD16)</f>
        <v/>
      </c>
      <c r="AE13" s="18">
        <f>Girdiler!$C$47*Girdiler!$C$18*'Uretim'!AE19*(1-'Zaman'!AE16)</f>
        <v/>
      </c>
      <c r="AF13" s="18">
        <f>Girdiler!$C$47*Girdiler!$C$18*'Uretim'!AF19*(1-'Zaman'!AF16)</f>
        <v/>
      </c>
      <c r="AG13" s="18">
        <f>Girdiler!$C$47*Girdiler!$C$18*'Uretim'!AG19*(1-'Zaman'!AG16)</f>
        <v/>
      </c>
      <c r="AH13" s="18">
        <f>Girdiler!$C$47*Girdiler!$C$18*'Uretim'!AH19*(1-'Zaman'!AH16)</f>
        <v/>
      </c>
      <c r="AI13" s="18">
        <f>Girdiler!$C$47*Girdiler!$C$18*'Uretim'!AI19*(1-'Zaman'!AI16)</f>
        <v/>
      </c>
      <c r="AJ13" s="18">
        <f>Girdiler!$C$47*Girdiler!$C$18*'Uretim'!AJ19*(1-'Zaman'!AJ16)</f>
        <v/>
      </c>
      <c r="AK13" s="18">
        <f>Girdiler!$C$47*Girdiler!$C$18*'Uretim'!AK19*(1-'Zaman'!AK16)</f>
        <v/>
      </c>
      <c r="AL13" s="18">
        <f>Girdiler!$C$47*Girdiler!$C$18*'Uretim'!AL19*(1-'Zaman'!AL16)</f>
        <v/>
      </c>
      <c r="AM13" s="18">
        <f>Girdiler!$C$47*Girdiler!$C$18*'Uretim'!AM19*(1-'Zaman'!AM16)</f>
        <v/>
      </c>
      <c r="AN13" s="18">
        <f>Girdiler!$C$47*Girdiler!$C$18*'Uretim'!AN19*(1-'Zaman'!AN16)</f>
        <v/>
      </c>
      <c r="AO13" s="18">
        <f>Girdiler!$C$47*Girdiler!$C$18*'Uretim'!AO19*(1-'Zaman'!AO16)</f>
        <v/>
      </c>
      <c r="AP13" s="18">
        <f>Girdiler!$C$47*Girdiler!$C$18*'Uretim'!AP19*(1-'Zaman'!AP16)</f>
        <v/>
      </c>
      <c r="AQ13" s="18">
        <f>Girdiler!$C$47*Girdiler!$C$18*'Uretim'!AQ19*(1-'Zaman'!AQ16)</f>
        <v/>
      </c>
      <c r="AR13" s="18">
        <f>Girdiler!$C$47*Girdiler!$C$18*'Uretim'!AR19*(1-'Zaman'!AR16)</f>
        <v/>
      </c>
    </row>
    <row r="14">
      <c r="A14" t="inlineStr">
        <is>
          <t>Dengesizlik maliyeti</t>
        </is>
      </c>
      <c r="B14" t="inlineStr">
        <is>
          <t>USD</t>
        </is>
      </c>
      <c r="C14" t="inlineStr"/>
      <c r="D14" s="18">
        <f>SUM(F14:AR14)</f>
        <v/>
      </c>
      <c r="E14" s="18" t="n">
        <v>0</v>
      </c>
      <c r="F14" s="18">
        <f>Girdiler!$C$46*('Gelir'!F8-'Gelir'!F13)*(1-'Gelir'!F12)</f>
        <v/>
      </c>
      <c r="G14" s="18">
        <f>Girdiler!$C$46*('Gelir'!G8-'Gelir'!G13)*(1-'Gelir'!G12)</f>
        <v/>
      </c>
      <c r="H14" s="18">
        <f>Girdiler!$C$46*('Gelir'!H8-'Gelir'!H13)*(1-'Gelir'!H12)</f>
        <v/>
      </c>
      <c r="I14" s="18">
        <f>Girdiler!$C$46*('Gelir'!I8-'Gelir'!I13)*(1-'Gelir'!I12)</f>
        <v/>
      </c>
      <c r="J14" s="18">
        <f>Girdiler!$C$46*('Gelir'!J8-'Gelir'!J13)*(1-'Gelir'!J12)</f>
        <v/>
      </c>
      <c r="K14" s="18">
        <f>Girdiler!$C$46*('Gelir'!K8-'Gelir'!K13)*(1-'Gelir'!K12)</f>
        <v/>
      </c>
      <c r="L14" s="18">
        <f>Girdiler!$C$46*('Gelir'!L8-'Gelir'!L13)*(1-'Gelir'!L12)</f>
        <v/>
      </c>
      <c r="M14" s="18">
        <f>Girdiler!$C$46*('Gelir'!M8-'Gelir'!M13)*(1-'Gelir'!M12)</f>
        <v/>
      </c>
      <c r="N14" s="18">
        <f>Girdiler!$C$46*('Gelir'!N8-'Gelir'!N13)*(1-'Gelir'!N12)</f>
        <v/>
      </c>
      <c r="O14" s="18">
        <f>Girdiler!$C$46*('Gelir'!O8-'Gelir'!O13)*(1-'Gelir'!O12)</f>
        <v/>
      </c>
      <c r="P14" s="18">
        <f>Girdiler!$C$46*('Gelir'!P8-'Gelir'!P13)*(1-'Gelir'!P12)</f>
        <v/>
      </c>
      <c r="Q14" s="18">
        <f>Girdiler!$C$46*('Gelir'!Q8-'Gelir'!Q13)*(1-'Gelir'!Q12)</f>
        <v/>
      </c>
      <c r="R14" s="18">
        <f>Girdiler!$C$46*('Gelir'!R8-'Gelir'!R13)*(1-'Gelir'!R12)</f>
        <v/>
      </c>
      <c r="S14" s="18">
        <f>Girdiler!$C$46*('Gelir'!S8-'Gelir'!S13)*(1-'Gelir'!S12)</f>
        <v/>
      </c>
      <c r="T14" s="18">
        <f>Girdiler!$C$46*('Gelir'!T8-'Gelir'!T13)*(1-'Gelir'!T12)</f>
        <v/>
      </c>
      <c r="U14" s="18">
        <f>Girdiler!$C$46*('Gelir'!U8-'Gelir'!U13)*(1-'Gelir'!U12)</f>
        <v/>
      </c>
      <c r="V14" s="18">
        <f>Girdiler!$C$46*('Gelir'!V8-'Gelir'!V13)*(1-'Gelir'!V12)</f>
        <v/>
      </c>
      <c r="W14" s="18">
        <f>Girdiler!$C$46*('Gelir'!W8-'Gelir'!W13)*(1-'Gelir'!W12)</f>
        <v/>
      </c>
      <c r="X14" s="18">
        <f>Girdiler!$C$46*('Gelir'!X8-'Gelir'!X13)*(1-'Gelir'!X12)</f>
        <v/>
      </c>
      <c r="Y14" s="18">
        <f>Girdiler!$C$46*('Gelir'!Y8-'Gelir'!Y13)*(1-'Gelir'!Y12)</f>
        <v/>
      </c>
      <c r="Z14" s="18">
        <f>Girdiler!$C$46*('Gelir'!Z8-'Gelir'!Z13)*(1-'Gelir'!Z12)</f>
        <v/>
      </c>
      <c r="AA14" s="18">
        <f>Girdiler!$C$46*('Gelir'!AA8-'Gelir'!AA13)*(1-'Gelir'!AA12)</f>
        <v/>
      </c>
      <c r="AB14" s="18">
        <f>Girdiler!$C$46*('Gelir'!AB8-'Gelir'!AB13)*(1-'Gelir'!AB12)</f>
        <v/>
      </c>
      <c r="AC14" s="18">
        <f>Girdiler!$C$46*('Gelir'!AC8-'Gelir'!AC13)*(1-'Gelir'!AC12)</f>
        <v/>
      </c>
      <c r="AD14" s="18">
        <f>Girdiler!$C$46*('Gelir'!AD8-'Gelir'!AD13)*(1-'Gelir'!AD12)</f>
        <v/>
      </c>
      <c r="AE14" s="18">
        <f>Girdiler!$C$46*('Gelir'!AE8-'Gelir'!AE13)*(1-'Gelir'!AE12)</f>
        <v/>
      </c>
      <c r="AF14" s="18">
        <f>Girdiler!$C$46*('Gelir'!AF8-'Gelir'!AF13)*(1-'Gelir'!AF12)</f>
        <v/>
      </c>
      <c r="AG14" s="18">
        <f>Girdiler!$C$46*('Gelir'!AG8-'Gelir'!AG13)*(1-'Gelir'!AG12)</f>
        <v/>
      </c>
      <c r="AH14" s="18">
        <f>Girdiler!$C$46*('Gelir'!AH8-'Gelir'!AH13)*(1-'Gelir'!AH12)</f>
        <v/>
      </c>
      <c r="AI14" s="18">
        <f>Girdiler!$C$46*('Gelir'!AI8-'Gelir'!AI13)*(1-'Gelir'!AI12)</f>
        <v/>
      </c>
      <c r="AJ14" s="18">
        <f>Girdiler!$C$46*('Gelir'!AJ8-'Gelir'!AJ13)*(1-'Gelir'!AJ12)</f>
        <v/>
      </c>
      <c r="AK14" s="18">
        <f>Girdiler!$C$46*('Gelir'!AK8-'Gelir'!AK13)*(1-'Gelir'!AK12)</f>
        <v/>
      </c>
      <c r="AL14" s="18">
        <f>Girdiler!$C$46*('Gelir'!AL8-'Gelir'!AL13)*(1-'Gelir'!AL12)</f>
        <v/>
      </c>
      <c r="AM14" s="18">
        <f>Girdiler!$C$46*('Gelir'!AM8-'Gelir'!AM13)*(1-'Gelir'!AM12)</f>
        <v/>
      </c>
      <c r="AN14" s="18">
        <f>Girdiler!$C$46*('Gelir'!AN8-'Gelir'!AN13)*(1-'Gelir'!AN12)</f>
        <v/>
      </c>
      <c r="AO14" s="18">
        <f>Girdiler!$C$46*('Gelir'!AO8-'Gelir'!AO13)*(1-'Gelir'!AO12)</f>
        <v/>
      </c>
      <c r="AP14" s="18">
        <f>Girdiler!$C$46*('Gelir'!AP8-'Gelir'!AP13)*(1-'Gelir'!AP12)</f>
        <v/>
      </c>
      <c r="AQ14" s="18">
        <f>Girdiler!$C$46*('Gelir'!AQ8-'Gelir'!AQ13)*(1-'Gelir'!AQ12)</f>
        <v/>
      </c>
      <c r="AR14" s="18">
        <f>Girdiler!$C$46*('Gelir'!AR8-'Gelir'!AR13)*(1-'Gelir'!AR12)</f>
        <v/>
      </c>
    </row>
    <row r="15">
      <c r="A15" t="inlineStr">
        <is>
          <t>Toplam gelir</t>
        </is>
      </c>
      <c r="B15" t="inlineStr">
        <is>
          <t>USD</t>
        </is>
      </c>
      <c r="C15" t="inlineStr"/>
      <c r="D15" s="18">
        <f>SUM(F15:AR15)</f>
        <v/>
      </c>
      <c r="E15" s="18" t="n">
        <v>0</v>
      </c>
      <c r="F15" s="18">
        <f>'Gelir'!F8+'Gelir'!F9+'Gelir'!F10+'Gelir'!F11</f>
        <v/>
      </c>
      <c r="G15" s="18">
        <f>'Gelir'!G8+'Gelir'!G9+'Gelir'!G10+'Gelir'!G11</f>
        <v/>
      </c>
      <c r="H15" s="18">
        <f>'Gelir'!H8+'Gelir'!H9+'Gelir'!H10+'Gelir'!H11</f>
        <v/>
      </c>
      <c r="I15" s="18">
        <f>'Gelir'!I8+'Gelir'!I9+'Gelir'!I10+'Gelir'!I11</f>
        <v/>
      </c>
      <c r="J15" s="18">
        <f>'Gelir'!J8+'Gelir'!J9+'Gelir'!J10+'Gelir'!J11</f>
        <v/>
      </c>
      <c r="K15" s="18">
        <f>'Gelir'!K8+'Gelir'!K9+'Gelir'!K10+'Gelir'!K11</f>
        <v/>
      </c>
      <c r="L15" s="18">
        <f>'Gelir'!L8+'Gelir'!L9+'Gelir'!L10+'Gelir'!L11</f>
        <v/>
      </c>
      <c r="M15" s="18">
        <f>'Gelir'!M8+'Gelir'!M9+'Gelir'!M10+'Gelir'!M11</f>
        <v/>
      </c>
      <c r="N15" s="18">
        <f>'Gelir'!N8+'Gelir'!N9+'Gelir'!N10+'Gelir'!N11</f>
        <v/>
      </c>
      <c r="O15" s="18">
        <f>'Gelir'!O8+'Gelir'!O9+'Gelir'!O10+'Gelir'!O11</f>
        <v/>
      </c>
      <c r="P15" s="18">
        <f>'Gelir'!P8+'Gelir'!P9+'Gelir'!P10+'Gelir'!P11</f>
        <v/>
      </c>
      <c r="Q15" s="18">
        <f>'Gelir'!Q8+'Gelir'!Q9+'Gelir'!Q10+'Gelir'!Q11</f>
        <v/>
      </c>
      <c r="R15" s="18">
        <f>'Gelir'!R8+'Gelir'!R9+'Gelir'!R10+'Gelir'!R11</f>
        <v/>
      </c>
      <c r="S15" s="18">
        <f>'Gelir'!S8+'Gelir'!S9+'Gelir'!S10+'Gelir'!S11</f>
        <v/>
      </c>
      <c r="T15" s="18">
        <f>'Gelir'!T8+'Gelir'!T9+'Gelir'!T10+'Gelir'!T11</f>
        <v/>
      </c>
      <c r="U15" s="18">
        <f>'Gelir'!U8+'Gelir'!U9+'Gelir'!U10+'Gelir'!U11</f>
        <v/>
      </c>
      <c r="V15" s="18">
        <f>'Gelir'!V8+'Gelir'!V9+'Gelir'!V10+'Gelir'!V11</f>
        <v/>
      </c>
      <c r="W15" s="18">
        <f>'Gelir'!W8+'Gelir'!W9+'Gelir'!W10+'Gelir'!W11</f>
        <v/>
      </c>
      <c r="X15" s="18">
        <f>'Gelir'!X8+'Gelir'!X9+'Gelir'!X10+'Gelir'!X11</f>
        <v/>
      </c>
      <c r="Y15" s="18">
        <f>'Gelir'!Y8+'Gelir'!Y9+'Gelir'!Y10+'Gelir'!Y11</f>
        <v/>
      </c>
      <c r="Z15" s="18">
        <f>'Gelir'!Z8+'Gelir'!Z9+'Gelir'!Z10+'Gelir'!Z11</f>
        <v/>
      </c>
      <c r="AA15" s="18">
        <f>'Gelir'!AA8+'Gelir'!AA9+'Gelir'!AA10+'Gelir'!AA11</f>
        <v/>
      </c>
      <c r="AB15" s="18">
        <f>'Gelir'!AB8+'Gelir'!AB9+'Gelir'!AB10+'Gelir'!AB11</f>
        <v/>
      </c>
      <c r="AC15" s="18">
        <f>'Gelir'!AC8+'Gelir'!AC9+'Gelir'!AC10+'Gelir'!AC11</f>
        <v/>
      </c>
      <c r="AD15" s="18">
        <f>'Gelir'!AD8+'Gelir'!AD9+'Gelir'!AD10+'Gelir'!AD11</f>
        <v/>
      </c>
      <c r="AE15" s="18">
        <f>'Gelir'!AE8+'Gelir'!AE9+'Gelir'!AE10+'Gelir'!AE11</f>
        <v/>
      </c>
      <c r="AF15" s="18">
        <f>'Gelir'!AF8+'Gelir'!AF9+'Gelir'!AF10+'Gelir'!AF11</f>
        <v/>
      </c>
      <c r="AG15" s="18">
        <f>'Gelir'!AG8+'Gelir'!AG9+'Gelir'!AG10+'Gelir'!AG11</f>
        <v/>
      </c>
      <c r="AH15" s="18">
        <f>'Gelir'!AH8+'Gelir'!AH9+'Gelir'!AH10+'Gelir'!AH11</f>
        <v/>
      </c>
      <c r="AI15" s="18">
        <f>'Gelir'!AI8+'Gelir'!AI9+'Gelir'!AI10+'Gelir'!AI11</f>
        <v/>
      </c>
      <c r="AJ15" s="18">
        <f>'Gelir'!AJ8+'Gelir'!AJ9+'Gelir'!AJ10+'Gelir'!AJ11</f>
        <v/>
      </c>
      <c r="AK15" s="18">
        <f>'Gelir'!AK8+'Gelir'!AK9+'Gelir'!AK10+'Gelir'!AK11</f>
        <v/>
      </c>
      <c r="AL15" s="18">
        <f>'Gelir'!AL8+'Gelir'!AL9+'Gelir'!AL10+'Gelir'!AL11</f>
        <v/>
      </c>
      <c r="AM15" s="18">
        <f>'Gelir'!AM8+'Gelir'!AM9+'Gelir'!AM10+'Gelir'!AM11</f>
        <v/>
      </c>
      <c r="AN15" s="18">
        <f>'Gelir'!AN8+'Gelir'!AN9+'Gelir'!AN10+'Gelir'!AN11</f>
        <v/>
      </c>
      <c r="AO15" s="18">
        <f>'Gelir'!AO8+'Gelir'!AO9+'Gelir'!AO10+'Gelir'!AO11</f>
        <v/>
      </c>
      <c r="AP15" s="18">
        <f>'Gelir'!AP8+'Gelir'!AP9+'Gelir'!AP10+'Gelir'!AP11</f>
        <v/>
      </c>
      <c r="AQ15" s="18">
        <f>'Gelir'!AQ8+'Gelir'!AQ9+'Gelir'!AQ10+'Gelir'!AQ11</f>
        <v/>
      </c>
      <c r="AR15" s="18">
        <f>'Gelir'!AR8+'Gelir'!AR9+'Gelir'!AR10+'Gelir'!AR11</f>
        <v/>
      </c>
    </row>
    <row r="16"/>
    <row r="17">
      <c r="A17" s="26" t="inlineStr">
        <is>
          <t>— Blok: P90 (borç boyutlandırma) —</t>
        </is>
      </c>
    </row>
    <row r="18">
      <c r="A18" t="inlineStr">
        <is>
          <t>RES geliri (tüccar + sözleşmeli, kesinti sonrası)</t>
        </is>
      </c>
      <c r="B18" t="inlineStr">
        <is>
          <t>USD</t>
        </is>
      </c>
      <c r="C18" t="inlineStr"/>
      <c r="D18" s="18">
        <f>SUM(F18:AR18)</f>
        <v/>
      </c>
      <c r="E18" s="18" t="n">
        <v>0</v>
      </c>
      <c r="F18" s="18">
        <f>((1-'Zaman'!F16)*Girdiler!$C$18*'Uretim'!F23+'Zaman'!F16*'Zaman'!F17*'Uretim'!F24)*(1-'Uretim'!F32)</f>
        <v/>
      </c>
      <c r="G18" s="18">
        <f>((1-'Zaman'!G16)*Girdiler!$C$18*'Uretim'!G23+'Zaman'!G16*'Zaman'!G17*'Uretim'!G24)*(1-'Uretim'!G32)</f>
        <v/>
      </c>
      <c r="H18" s="18">
        <f>((1-'Zaman'!H16)*Girdiler!$C$18*'Uretim'!H23+'Zaman'!H16*'Zaman'!H17*'Uretim'!H24)*(1-'Uretim'!H32)</f>
        <v/>
      </c>
      <c r="I18" s="18">
        <f>((1-'Zaman'!I16)*Girdiler!$C$18*'Uretim'!I23+'Zaman'!I16*'Zaman'!I17*'Uretim'!I24)*(1-'Uretim'!I32)</f>
        <v/>
      </c>
      <c r="J18" s="18">
        <f>((1-'Zaman'!J16)*Girdiler!$C$18*'Uretim'!J23+'Zaman'!J16*'Zaman'!J17*'Uretim'!J24)*(1-'Uretim'!J32)</f>
        <v/>
      </c>
      <c r="K18" s="18">
        <f>((1-'Zaman'!K16)*Girdiler!$C$18*'Uretim'!K23+'Zaman'!K16*'Zaman'!K17*'Uretim'!K24)*(1-'Uretim'!K32)</f>
        <v/>
      </c>
      <c r="L18" s="18">
        <f>((1-'Zaman'!L16)*Girdiler!$C$18*'Uretim'!L23+'Zaman'!L16*'Zaman'!L17*'Uretim'!L24)*(1-'Uretim'!L32)</f>
        <v/>
      </c>
      <c r="M18" s="18">
        <f>((1-'Zaman'!M16)*Girdiler!$C$18*'Uretim'!M23+'Zaman'!M16*'Zaman'!M17*'Uretim'!M24)*(1-'Uretim'!M32)</f>
        <v/>
      </c>
      <c r="N18" s="18">
        <f>((1-'Zaman'!N16)*Girdiler!$C$18*'Uretim'!N23+'Zaman'!N16*'Zaman'!N17*'Uretim'!N24)*(1-'Uretim'!N32)</f>
        <v/>
      </c>
      <c r="O18" s="18">
        <f>((1-'Zaman'!O16)*Girdiler!$C$18*'Uretim'!O23+'Zaman'!O16*'Zaman'!O17*'Uretim'!O24)*(1-'Uretim'!O32)</f>
        <v/>
      </c>
      <c r="P18" s="18">
        <f>((1-'Zaman'!P16)*Girdiler!$C$18*'Uretim'!P23+'Zaman'!P16*'Zaman'!P17*'Uretim'!P24)*(1-'Uretim'!P32)</f>
        <v/>
      </c>
      <c r="Q18" s="18">
        <f>((1-'Zaman'!Q16)*Girdiler!$C$18*'Uretim'!Q23+'Zaman'!Q16*'Zaman'!Q17*'Uretim'!Q24)*(1-'Uretim'!Q32)</f>
        <v/>
      </c>
      <c r="R18" s="18">
        <f>((1-'Zaman'!R16)*Girdiler!$C$18*'Uretim'!R23+'Zaman'!R16*'Zaman'!R17*'Uretim'!R24)*(1-'Uretim'!R32)</f>
        <v/>
      </c>
      <c r="S18" s="18">
        <f>((1-'Zaman'!S16)*Girdiler!$C$18*'Uretim'!S23+'Zaman'!S16*'Zaman'!S17*'Uretim'!S24)*(1-'Uretim'!S32)</f>
        <v/>
      </c>
      <c r="T18" s="18">
        <f>((1-'Zaman'!T16)*Girdiler!$C$18*'Uretim'!T23+'Zaman'!T16*'Zaman'!T17*'Uretim'!T24)*(1-'Uretim'!T32)</f>
        <v/>
      </c>
      <c r="U18" s="18">
        <f>((1-'Zaman'!U16)*Girdiler!$C$18*'Uretim'!U23+'Zaman'!U16*'Zaman'!U17*'Uretim'!U24)*(1-'Uretim'!U32)</f>
        <v/>
      </c>
      <c r="V18" s="18">
        <f>((1-'Zaman'!V16)*Girdiler!$C$18*'Uretim'!V23+'Zaman'!V16*'Zaman'!V17*'Uretim'!V24)*(1-'Uretim'!V32)</f>
        <v/>
      </c>
      <c r="W18" s="18">
        <f>((1-'Zaman'!W16)*Girdiler!$C$18*'Uretim'!W23+'Zaman'!W16*'Zaman'!W17*'Uretim'!W24)*(1-'Uretim'!W32)</f>
        <v/>
      </c>
      <c r="X18" s="18">
        <f>((1-'Zaman'!X16)*Girdiler!$C$18*'Uretim'!X23+'Zaman'!X16*'Zaman'!X17*'Uretim'!X24)*(1-'Uretim'!X32)</f>
        <v/>
      </c>
      <c r="Y18" s="18">
        <f>((1-'Zaman'!Y16)*Girdiler!$C$18*'Uretim'!Y23+'Zaman'!Y16*'Zaman'!Y17*'Uretim'!Y24)*(1-'Uretim'!Y32)</f>
        <v/>
      </c>
      <c r="Z18" s="18">
        <f>((1-'Zaman'!Z16)*Girdiler!$C$18*'Uretim'!Z23+'Zaman'!Z16*'Zaman'!Z17*'Uretim'!Z24)*(1-'Uretim'!Z32)</f>
        <v/>
      </c>
      <c r="AA18" s="18">
        <f>((1-'Zaman'!AA16)*Girdiler!$C$18*'Uretim'!AA23+'Zaman'!AA16*'Zaman'!AA17*'Uretim'!AA24)*(1-'Uretim'!AA32)</f>
        <v/>
      </c>
      <c r="AB18" s="18">
        <f>((1-'Zaman'!AB16)*Girdiler!$C$18*'Uretim'!AB23+'Zaman'!AB16*'Zaman'!AB17*'Uretim'!AB24)*(1-'Uretim'!AB32)</f>
        <v/>
      </c>
      <c r="AC18" s="18">
        <f>((1-'Zaman'!AC16)*Girdiler!$C$18*'Uretim'!AC23+'Zaman'!AC16*'Zaman'!AC17*'Uretim'!AC24)*(1-'Uretim'!AC32)</f>
        <v/>
      </c>
      <c r="AD18" s="18">
        <f>((1-'Zaman'!AD16)*Girdiler!$C$18*'Uretim'!AD23+'Zaman'!AD16*'Zaman'!AD17*'Uretim'!AD24)*(1-'Uretim'!AD32)</f>
        <v/>
      </c>
      <c r="AE18" s="18">
        <f>((1-'Zaman'!AE16)*Girdiler!$C$18*'Uretim'!AE23+'Zaman'!AE16*'Zaman'!AE17*'Uretim'!AE24)*(1-'Uretim'!AE32)</f>
        <v/>
      </c>
      <c r="AF18" s="18">
        <f>((1-'Zaman'!AF16)*Girdiler!$C$18*'Uretim'!AF23+'Zaman'!AF16*'Zaman'!AF17*'Uretim'!AF24)*(1-'Uretim'!AF32)</f>
        <v/>
      </c>
      <c r="AG18" s="18">
        <f>((1-'Zaman'!AG16)*Girdiler!$C$18*'Uretim'!AG23+'Zaman'!AG16*'Zaman'!AG17*'Uretim'!AG24)*(1-'Uretim'!AG32)</f>
        <v/>
      </c>
      <c r="AH18" s="18">
        <f>((1-'Zaman'!AH16)*Girdiler!$C$18*'Uretim'!AH23+'Zaman'!AH16*'Zaman'!AH17*'Uretim'!AH24)*(1-'Uretim'!AH32)</f>
        <v/>
      </c>
      <c r="AI18" s="18">
        <f>((1-'Zaman'!AI16)*Girdiler!$C$18*'Uretim'!AI23+'Zaman'!AI16*'Zaman'!AI17*'Uretim'!AI24)*(1-'Uretim'!AI32)</f>
        <v/>
      </c>
      <c r="AJ18" s="18">
        <f>((1-'Zaman'!AJ16)*Girdiler!$C$18*'Uretim'!AJ23+'Zaman'!AJ16*'Zaman'!AJ17*'Uretim'!AJ24)*(1-'Uretim'!AJ32)</f>
        <v/>
      </c>
      <c r="AK18" s="18">
        <f>((1-'Zaman'!AK16)*Girdiler!$C$18*'Uretim'!AK23+'Zaman'!AK16*'Zaman'!AK17*'Uretim'!AK24)*(1-'Uretim'!AK32)</f>
        <v/>
      </c>
      <c r="AL18" s="18">
        <f>((1-'Zaman'!AL16)*Girdiler!$C$18*'Uretim'!AL23+'Zaman'!AL16*'Zaman'!AL17*'Uretim'!AL24)*(1-'Uretim'!AL32)</f>
        <v/>
      </c>
      <c r="AM18" s="18">
        <f>((1-'Zaman'!AM16)*Girdiler!$C$18*'Uretim'!AM23+'Zaman'!AM16*'Zaman'!AM17*'Uretim'!AM24)*(1-'Uretim'!AM32)</f>
        <v/>
      </c>
      <c r="AN18" s="18">
        <f>((1-'Zaman'!AN16)*Girdiler!$C$18*'Uretim'!AN23+'Zaman'!AN16*'Zaman'!AN17*'Uretim'!AN24)*(1-'Uretim'!AN32)</f>
        <v/>
      </c>
      <c r="AO18" s="18">
        <f>((1-'Zaman'!AO16)*Girdiler!$C$18*'Uretim'!AO23+'Zaman'!AO16*'Zaman'!AO17*'Uretim'!AO24)*(1-'Uretim'!AO32)</f>
        <v/>
      </c>
      <c r="AP18" s="18">
        <f>((1-'Zaman'!AP16)*Girdiler!$C$18*'Uretim'!AP23+'Zaman'!AP16*'Zaman'!AP17*'Uretim'!AP24)*(1-'Uretim'!AP32)</f>
        <v/>
      </c>
      <c r="AQ18" s="18">
        <f>((1-'Zaman'!AQ16)*Girdiler!$C$18*'Uretim'!AQ23+'Zaman'!AQ16*'Zaman'!AQ17*'Uretim'!AQ24)*(1-'Uretim'!AQ32)</f>
        <v/>
      </c>
      <c r="AR18" s="18">
        <f>((1-'Zaman'!AR16)*Girdiler!$C$18*'Uretim'!AR23+'Zaman'!AR16*'Zaman'!AR17*'Uretim'!AR24)*(1-'Uretim'!AR32)</f>
        <v/>
      </c>
    </row>
    <row r="19">
      <c r="A19" t="inlineStr">
        <is>
          <t>Batarya deşarj geliri</t>
        </is>
      </c>
      <c r="B19" t="inlineStr">
        <is>
          <t>USD</t>
        </is>
      </c>
      <c r="C19" t="inlineStr">
        <is>
          <t>YEKDEM yılında depolanıp verilen santral enerjisi YEKDEM fiyatından</t>
        </is>
      </c>
      <c r="D19" s="18">
        <f>SUM(F19:AR19)</f>
        <v/>
      </c>
      <c r="E19" s="18" t="n">
        <v>0</v>
      </c>
      <c r="F19" s="18">
        <f>IF(Girdiler!$C$91=1,(1-'Zaman'!F16)*Girdiler!$C$18*'Uretim'!F25+'Zaman'!F16*'Zaman'!F17*'Uretim'!F26,Girdiler!$C$18*'Uretim'!F25)</f>
        <v/>
      </c>
      <c r="G19" s="18">
        <f>IF(Girdiler!$C$91=1,(1-'Zaman'!G16)*Girdiler!$C$18*'Uretim'!G25+'Zaman'!G16*'Zaman'!G17*'Uretim'!G26,Girdiler!$C$18*'Uretim'!G25)</f>
        <v/>
      </c>
      <c r="H19" s="18">
        <f>IF(Girdiler!$C$91=1,(1-'Zaman'!H16)*Girdiler!$C$18*'Uretim'!H25+'Zaman'!H16*'Zaman'!H17*'Uretim'!H26,Girdiler!$C$18*'Uretim'!H25)</f>
        <v/>
      </c>
      <c r="I19" s="18">
        <f>IF(Girdiler!$C$91=1,(1-'Zaman'!I16)*Girdiler!$C$18*'Uretim'!I25+'Zaman'!I16*'Zaman'!I17*'Uretim'!I26,Girdiler!$C$18*'Uretim'!I25)</f>
        <v/>
      </c>
      <c r="J19" s="18">
        <f>IF(Girdiler!$C$91=1,(1-'Zaman'!J16)*Girdiler!$C$18*'Uretim'!J25+'Zaman'!J16*'Zaman'!J17*'Uretim'!J26,Girdiler!$C$18*'Uretim'!J25)</f>
        <v/>
      </c>
      <c r="K19" s="18">
        <f>IF(Girdiler!$C$91=1,(1-'Zaman'!K16)*Girdiler!$C$18*'Uretim'!K25+'Zaman'!K16*'Zaman'!K17*'Uretim'!K26,Girdiler!$C$18*'Uretim'!K25)</f>
        <v/>
      </c>
      <c r="L19" s="18">
        <f>IF(Girdiler!$C$91=1,(1-'Zaman'!L16)*Girdiler!$C$18*'Uretim'!L25+'Zaman'!L16*'Zaman'!L17*'Uretim'!L26,Girdiler!$C$18*'Uretim'!L25)</f>
        <v/>
      </c>
      <c r="M19" s="18">
        <f>IF(Girdiler!$C$91=1,(1-'Zaman'!M16)*Girdiler!$C$18*'Uretim'!M25+'Zaman'!M16*'Zaman'!M17*'Uretim'!M26,Girdiler!$C$18*'Uretim'!M25)</f>
        <v/>
      </c>
      <c r="N19" s="18">
        <f>IF(Girdiler!$C$91=1,(1-'Zaman'!N16)*Girdiler!$C$18*'Uretim'!N25+'Zaman'!N16*'Zaman'!N17*'Uretim'!N26,Girdiler!$C$18*'Uretim'!N25)</f>
        <v/>
      </c>
      <c r="O19" s="18">
        <f>IF(Girdiler!$C$91=1,(1-'Zaman'!O16)*Girdiler!$C$18*'Uretim'!O25+'Zaman'!O16*'Zaman'!O17*'Uretim'!O26,Girdiler!$C$18*'Uretim'!O25)</f>
        <v/>
      </c>
      <c r="P19" s="18">
        <f>IF(Girdiler!$C$91=1,(1-'Zaman'!P16)*Girdiler!$C$18*'Uretim'!P25+'Zaman'!P16*'Zaman'!P17*'Uretim'!P26,Girdiler!$C$18*'Uretim'!P25)</f>
        <v/>
      </c>
      <c r="Q19" s="18">
        <f>IF(Girdiler!$C$91=1,(1-'Zaman'!Q16)*Girdiler!$C$18*'Uretim'!Q25+'Zaman'!Q16*'Zaman'!Q17*'Uretim'!Q26,Girdiler!$C$18*'Uretim'!Q25)</f>
        <v/>
      </c>
      <c r="R19" s="18">
        <f>IF(Girdiler!$C$91=1,(1-'Zaman'!R16)*Girdiler!$C$18*'Uretim'!R25+'Zaman'!R16*'Zaman'!R17*'Uretim'!R26,Girdiler!$C$18*'Uretim'!R25)</f>
        <v/>
      </c>
      <c r="S19" s="18">
        <f>IF(Girdiler!$C$91=1,(1-'Zaman'!S16)*Girdiler!$C$18*'Uretim'!S25+'Zaman'!S16*'Zaman'!S17*'Uretim'!S26,Girdiler!$C$18*'Uretim'!S25)</f>
        <v/>
      </c>
      <c r="T19" s="18">
        <f>IF(Girdiler!$C$91=1,(1-'Zaman'!T16)*Girdiler!$C$18*'Uretim'!T25+'Zaman'!T16*'Zaman'!T17*'Uretim'!T26,Girdiler!$C$18*'Uretim'!T25)</f>
        <v/>
      </c>
      <c r="U19" s="18">
        <f>IF(Girdiler!$C$91=1,(1-'Zaman'!U16)*Girdiler!$C$18*'Uretim'!U25+'Zaman'!U16*'Zaman'!U17*'Uretim'!U26,Girdiler!$C$18*'Uretim'!U25)</f>
        <v/>
      </c>
      <c r="V19" s="18">
        <f>IF(Girdiler!$C$91=1,(1-'Zaman'!V16)*Girdiler!$C$18*'Uretim'!V25+'Zaman'!V16*'Zaman'!V17*'Uretim'!V26,Girdiler!$C$18*'Uretim'!V25)</f>
        <v/>
      </c>
      <c r="W19" s="18">
        <f>IF(Girdiler!$C$91=1,(1-'Zaman'!W16)*Girdiler!$C$18*'Uretim'!W25+'Zaman'!W16*'Zaman'!W17*'Uretim'!W26,Girdiler!$C$18*'Uretim'!W25)</f>
        <v/>
      </c>
      <c r="X19" s="18">
        <f>IF(Girdiler!$C$91=1,(1-'Zaman'!X16)*Girdiler!$C$18*'Uretim'!X25+'Zaman'!X16*'Zaman'!X17*'Uretim'!X26,Girdiler!$C$18*'Uretim'!X25)</f>
        <v/>
      </c>
      <c r="Y19" s="18">
        <f>IF(Girdiler!$C$91=1,(1-'Zaman'!Y16)*Girdiler!$C$18*'Uretim'!Y25+'Zaman'!Y16*'Zaman'!Y17*'Uretim'!Y26,Girdiler!$C$18*'Uretim'!Y25)</f>
        <v/>
      </c>
      <c r="Z19" s="18">
        <f>IF(Girdiler!$C$91=1,(1-'Zaman'!Z16)*Girdiler!$C$18*'Uretim'!Z25+'Zaman'!Z16*'Zaman'!Z17*'Uretim'!Z26,Girdiler!$C$18*'Uretim'!Z25)</f>
        <v/>
      </c>
      <c r="AA19" s="18">
        <f>IF(Girdiler!$C$91=1,(1-'Zaman'!AA16)*Girdiler!$C$18*'Uretim'!AA25+'Zaman'!AA16*'Zaman'!AA17*'Uretim'!AA26,Girdiler!$C$18*'Uretim'!AA25)</f>
        <v/>
      </c>
      <c r="AB19" s="18">
        <f>IF(Girdiler!$C$91=1,(1-'Zaman'!AB16)*Girdiler!$C$18*'Uretim'!AB25+'Zaman'!AB16*'Zaman'!AB17*'Uretim'!AB26,Girdiler!$C$18*'Uretim'!AB25)</f>
        <v/>
      </c>
      <c r="AC19" s="18">
        <f>IF(Girdiler!$C$91=1,(1-'Zaman'!AC16)*Girdiler!$C$18*'Uretim'!AC25+'Zaman'!AC16*'Zaman'!AC17*'Uretim'!AC26,Girdiler!$C$18*'Uretim'!AC25)</f>
        <v/>
      </c>
      <c r="AD19" s="18">
        <f>IF(Girdiler!$C$91=1,(1-'Zaman'!AD16)*Girdiler!$C$18*'Uretim'!AD25+'Zaman'!AD16*'Zaman'!AD17*'Uretim'!AD26,Girdiler!$C$18*'Uretim'!AD25)</f>
        <v/>
      </c>
      <c r="AE19" s="18">
        <f>IF(Girdiler!$C$91=1,(1-'Zaman'!AE16)*Girdiler!$C$18*'Uretim'!AE25+'Zaman'!AE16*'Zaman'!AE17*'Uretim'!AE26,Girdiler!$C$18*'Uretim'!AE25)</f>
        <v/>
      </c>
      <c r="AF19" s="18">
        <f>IF(Girdiler!$C$91=1,(1-'Zaman'!AF16)*Girdiler!$C$18*'Uretim'!AF25+'Zaman'!AF16*'Zaman'!AF17*'Uretim'!AF26,Girdiler!$C$18*'Uretim'!AF25)</f>
        <v/>
      </c>
      <c r="AG19" s="18">
        <f>IF(Girdiler!$C$91=1,(1-'Zaman'!AG16)*Girdiler!$C$18*'Uretim'!AG25+'Zaman'!AG16*'Zaman'!AG17*'Uretim'!AG26,Girdiler!$C$18*'Uretim'!AG25)</f>
        <v/>
      </c>
      <c r="AH19" s="18">
        <f>IF(Girdiler!$C$91=1,(1-'Zaman'!AH16)*Girdiler!$C$18*'Uretim'!AH25+'Zaman'!AH16*'Zaman'!AH17*'Uretim'!AH26,Girdiler!$C$18*'Uretim'!AH25)</f>
        <v/>
      </c>
      <c r="AI19" s="18">
        <f>IF(Girdiler!$C$91=1,(1-'Zaman'!AI16)*Girdiler!$C$18*'Uretim'!AI25+'Zaman'!AI16*'Zaman'!AI17*'Uretim'!AI26,Girdiler!$C$18*'Uretim'!AI25)</f>
        <v/>
      </c>
      <c r="AJ19" s="18">
        <f>IF(Girdiler!$C$91=1,(1-'Zaman'!AJ16)*Girdiler!$C$18*'Uretim'!AJ25+'Zaman'!AJ16*'Zaman'!AJ17*'Uretim'!AJ26,Girdiler!$C$18*'Uretim'!AJ25)</f>
        <v/>
      </c>
      <c r="AK19" s="18">
        <f>IF(Girdiler!$C$91=1,(1-'Zaman'!AK16)*Girdiler!$C$18*'Uretim'!AK25+'Zaman'!AK16*'Zaman'!AK17*'Uretim'!AK26,Girdiler!$C$18*'Uretim'!AK25)</f>
        <v/>
      </c>
      <c r="AL19" s="18">
        <f>IF(Girdiler!$C$91=1,(1-'Zaman'!AL16)*Girdiler!$C$18*'Uretim'!AL25+'Zaman'!AL16*'Zaman'!AL17*'Uretim'!AL26,Girdiler!$C$18*'Uretim'!AL25)</f>
        <v/>
      </c>
      <c r="AM19" s="18">
        <f>IF(Girdiler!$C$91=1,(1-'Zaman'!AM16)*Girdiler!$C$18*'Uretim'!AM25+'Zaman'!AM16*'Zaman'!AM17*'Uretim'!AM26,Girdiler!$C$18*'Uretim'!AM25)</f>
        <v/>
      </c>
      <c r="AN19" s="18">
        <f>IF(Girdiler!$C$91=1,(1-'Zaman'!AN16)*Girdiler!$C$18*'Uretim'!AN25+'Zaman'!AN16*'Zaman'!AN17*'Uretim'!AN26,Girdiler!$C$18*'Uretim'!AN25)</f>
        <v/>
      </c>
      <c r="AO19" s="18">
        <f>IF(Girdiler!$C$91=1,(1-'Zaman'!AO16)*Girdiler!$C$18*'Uretim'!AO25+'Zaman'!AO16*'Zaman'!AO17*'Uretim'!AO26,Girdiler!$C$18*'Uretim'!AO25)</f>
        <v/>
      </c>
      <c r="AP19" s="18">
        <f>IF(Girdiler!$C$91=1,(1-'Zaman'!AP16)*Girdiler!$C$18*'Uretim'!AP25+'Zaman'!AP16*'Zaman'!AP17*'Uretim'!AP26,Girdiler!$C$18*'Uretim'!AP25)</f>
        <v/>
      </c>
      <c r="AQ19" s="18">
        <f>IF(Girdiler!$C$91=1,(1-'Zaman'!AQ16)*Girdiler!$C$18*'Uretim'!AQ25+'Zaman'!AQ16*'Zaman'!AQ17*'Uretim'!AQ26,Girdiler!$C$18*'Uretim'!AQ25)</f>
        <v/>
      </c>
      <c r="AR19" s="18">
        <f>IF(Girdiler!$C$91=1,(1-'Zaman'!AR16)*Girdiler!$C$18*'Uretim'!AR25+'Zaman'!AR16*'Zaman'!AR17*'Uretim'!AR26,Girdiler!$C$18*'Uretim'!AR25)</f>
        <v/>
      </c>
    </row>
    <row r="20">
      <c r="A20" t="inlineStr">
        <is>
          <t>SFK kapasite geliri</t>
        </is>
      </c>
      <c r="B20" t="inlineStr">
        <is>
          <t>USD</t>
        </is>
      </c>
      <c r="C20" t="inlineStr"/>
      <c r="D20" s="18">
        <f>SUM(F20:AR20)</f>
        <v/>
      </c>
      <c r="E20" s="18" t="n">
        <v>0</v>
      </c>
      <c r="F20" s="18">
        <f>IF('Zaman'!F13=1,INDEX(Python_girdileri!$C$6:$C$35,'Zaman'!F9)*'Uretim'!F27,0)</f>
        <v/>
      </c>
      <c r="G20" s="18">
        <f>IF('Zaman'!G13=1,INDEX(Python_girdileri!$C$6:$C$35,'Zaman'!G9)*'Uretim'!G27,0)</f>
        <v/>
      </c>
      <c r="H20" s="18">
        <f>IF('Zaman'!H13=1,INDEX(Python_girdileri!$C$6:$C$35,'Zaman'!H9)*'Uretim'!H27,0)</f>
        <v/>
      </c>
      <c r="I20" s="18">
        <f>IF('Zaman'!I13=1,INDEX(Python_girdileri!$C$6:$C$35,'Zaman'!I9)*'Uretim'!I27,0)</f>
        <v/>
      </c>
      <c r="J20" s="18">
        <f>IF('Zaman'!J13=1,INDEX(Python_girdileri!$C$6:$C$35,'Zaman'!J9)*'Uretim'!J27,0)</f>
        <v/>
      </c>
      <c r="K20" s="18">
        <f>IF('Zaman'!K13=1,INDEX(Python_girdileri!$C$6:$C$35,'Zaman'!K9)*'Uretim'!K27,0)</f>
        <v/>
      </c>
      <c r="L20" s="18">
        <f>IF('Zaman'!L13=1,INDEX(Python_girdileri!$C$6:$C$35,'Zaman'!L9)*'Uretim'!L27,0)</f>
        <v/>
      </c>
      <c r="M20" s="18">
        <f>IF('Zaman'!M13=1,INDEX(Python_girdileri!$C$6:$C$35,'Zaman'!M9)*'Uretim'!M27,0)</f>
        <v/>
      </c>
      <c r="N20" s="18">
        <f>IF('Zaman'!N13=1,INDEX(Python_girdileri!$C$6:$C$35,'Zaman'!N9)*'Uretim'!N27,0)</f>
        <v/>
      </c>
      <c r="O20" s="18">
        <f>IF('Zaman'!O13=1,INDEX(Python_girdileri!$C$6:$C$35,'Zaman'!O9)*'Uretim'!O27,0)</f>
        <v/>
      </c>
      <c r="P20" s="18">
        <f>IF('Zaman'!P13=1,INDEX(Python_girdileri!$C$6:$C$35,'Zaman'!P9)*'Uretim'!P27,0)</f>
        <v/>
      </c>
      <c r="Q20" s="18">
        <f>IF('Zaman'!Q13=1,INDEX(Python_girdileri!$C$6:$C$35,'Zaman'!Q9)*'Uretim'!Q27,0)</f>
        <v/>
      </c>
      <c r="R20" s="18">
        <f>IF('Zaman'!R13=1,INDEX(Python_girdileri!$C$6:$C$35,'Zaman'!R9)*'Uretim'!R27,0)</f>
        <v/>
      </c>
      <c r="S20" s="18">
        <f>IF('Zaman'!S13=1,INDEX(Python_girdileri!$C$6:$C$35,'Zaman'!S9)*'Uretim'!S27,0)</f>
        <v/>
      </c>
      <c r="T20" s="18">
        <f>IF('Zaman'!T13=1,INDEX(Python_girdileri!$C$6:$C$35,'Zaman'!T9)*'Uretim'!T27,0)</f>
        <v/>
      </c>
      <c r="U20" s="18">
        <f>IF('Zaman'!U13=1,INDEX(Python_girdileri!$C$6:$C$35,'Zaman'!U9)*'Uretim'!U27,0)</f>
        <v/>
      </c>
      <c r="V20" s="18">
        <f>IF('Zaman'!V13=1,INDEX(Python_girdileri!$C$6:$C$35,'Zaman'!V9)*'Uretim'!V27,0)</f>
        <v/>
      </c>
      <c r="W20" s="18">
        <f>IF('Zaman'!W13=1,INDEX(Python_girdileri!$C$6:$C$35,'Zaman'!W9)*'Uretim'!W27,0)</f>
        <v/>
      </c>
      <c r="X20" s="18">
        <f>IF('Zaman'!X13=1,INDEX(Python_girdileri!$C$6:$C$35,'Zaman'!X9)*'Uretim'!X27,0)</f>
        <v/>
      </c>
      <c r="Y20" s="18">
        <f>IF('Zaman'!Y13=1,INDEX(Python_girdileri!$C$6:$C$35,'Zaman'!Y9)*'Uretim'!Y27,0)</f>
        <v/>
      </c>
      <c r="Z20" s="18">
        <f>IF('Zaman'!Z13=1,INDEX(Python_girdileri!$C$6:$C$35,'Zaman'!Z9)*'Uretim'!Z27,0)</f>
        <v/>
      </c>
      <c r="AA20" s="18">
        <f>IF('Zaman'!AA13=1,INDEX(Python_girdileri!$C$6:$C$35,'Zaman'!AA9)*'Uretim'!AA27,0)</f>
        <v/>
      </c>
      <c r="AB20" s="18">
        <f>IF('Zaman'!AB13=1,INDEX(Python_girdileri!$C$6:$C$35,'Zaman'!AB9)*'Uretim'!AB27,0)</f>
        <v/>
      </c>
      <c r="AC20" s="18">
        <f>IF('Zaman'!AC13=1,INDEX(Python_girdileri!$C$6:$C$35,'Zaman'!AC9)*'Uretim'!AC27,0)</f>
        <v/>
      </c>
      <c r="AD20" s="18">
        <f>IF('Zaman'!AD13=1,INDEX(Python_girdileri!$C$6:$C$35,'Zaman'!AD9)*'Uretim'!AD27,0)</f>
        <v/>
      </c>
      <c r="AE20" s="18">
        <f>IF('Zaman'!AE13=1,INDEX(Python_girdileri!$C$6:$C$35,'Zaman'!AE9)*'Uretim'!AE27,0)</f>
        <v/>
      </c>
      <c r="AF20" s="18">
        <f>IF('Zaman'!AF13=1,INDEX(Python_girdileri!$C$6:$C$35,'Zaman'!AF9)*'Uretim'!AF27,0)</f>
        <v/>
      </c>
      <c r="AG20" s="18">
        <f>IF('Zaman'!AG13=1,INDEX(Python_girdileri!$C$6:$C$35,'Zaman'!AG9)*'Uretim'!AG27,0)</f>
        <v/>
      </c>
      <c r="AH20" s="18">
        <f>IF('Zaman'!AH13=1,INDEX(Python_girdileri!$C$6:$C$35,'Zaman'!AH9)*'Uretim'!AH27,0)</f>
        <v/>
      </c>
      <c r="AI20" s="18">
        <f>IF('Zaman'!AI13=1,INDEX(Python_girdileri!$C$6:$C$35,'Zaman'!AI9)*'Uretim'!AI27,0)</f>
        <v/>
      </c>
      <c r="AJ20" s="18">
        <f>IF('Zaman'!AJ13=1,INDEX(Python_girdileri!$C$6:$C$35,'Zaman'!AJ9)*'Uretim'!AJ27,0)</f>
        <v/>
      </c>
      <c r="AK20" s="18">
        <f>IF('Zaman'!AK13=1,INDEX(Python_girdileri!$C$6:$C$35,'Zaman'!AK9)*'Uretim'!AK27,0)</f>
        <v/>
      </c>
      <c r="AL20" s="18">
        <f>IF('Zaman'!AL13=1,INDEX(Python_girdileri!$C$6:$C$35,'Zaman'!AL9)*'Uretim'!AL27,0)</f>
        <v/>
      </c>
      <c r="AM20" s="18">
        <f>IF('Zaman'!AM13=1,INDEX(Python_girdileri!$C$6:$C$35,'Zaman'!AM9)*'Uretim'!AM27,0)</f>
        <v/>
      </c>
      <c r="AN20" s="18">
        <f>IF('Zaman'!AN13=1,INDEX(Python_girdileri!$C$6:$C$35,'Zaman'!AN9)*'Uretim'!AN27,0)</f>
        <v/>
      </c>
      <c r="AO20" s="18">
        <f>IF('Zaman'!AO13=1,INDEX(Python_girdileri!$C$6:$C$35,'Zaman'!AO9)*'Uretim'!AO27,0)</f>
        <v/>
      </c>
      <c r="AP20" s="18">
        <f>IF('Zaman'!AP13=1,INDEX(Python_girdileri!$C$6:$C$35,'Zaman'!AP9)*'Uretim'!AP27,0)</f>
        <v/>
      </c>
      <c r="AQ20" s="18">
        <f>IF('Zaman'!AQ13=1,INDEX(Python_girdileri!$C$6:$C$35,'Zaman'!AQ9)*'Uretim'!AQ27,0)</f>
        <v/>
      </c>
      <c r="AR20" s="18">
        <f>IF('Zaman'!AR13=1,INDEX(Python_girdileri!$C$6:$C$35,'Zaman'!AR9)*'Uretim'!AR27,0)</f>
        <v/>
      </c>
    </row>
    <row r="21">
      <c r="A21" t="inlineStr">
        <is>
          <t>YEK-G geliri</t>
        </is>
      </c>
      <c r="B21" t="inlineStr">
        <is>
          <t>USD</t>
        </is>
      </c>
      <c r="C21" t="inlineStr"/>
      <c r="D21" s="18">
        <f>SUM(F21:AR21)</f>
        <v/>
      </c>
      <c r="E21" s="18" t="n">
        <v>0</v>
      </c>
      <c r="F21" s="18">
        <f>Girdiler!$C$48*'Uretim'!F35</f>
        <v/>
      </c>
      <c r="G21" s="18">
        <f>Girdiler!$C$48*'Uretim'!G35</f>
        <v/>
      </c>
      <c r="H21" s="18">
        <f>Girdiler!$C$48*'Uretim'!H35</f>
        <v/>
      </c>
      <c r="I21" s="18">
        <f>Girdiler!$C$48*'Uretim'!I35</f>
        <v/>
      </c>
      <c r="J21" s="18">
        <f>Girdiler!$C$48*'Uretim'!J35</f>
        <v/>
      </c>
      <c r="K21" s="18">
        <f>Girdiler!$C$48*'Uretim'!K35</f>
        <v/>
      </c>
      <c r="L21" s="18">
        <f>Girdiler!$C$48*'Uretim'!L35</f>
        <v/>
      </c>
      <c r="M21" s="18">
        <f>Girdiler!$C$48*'Uretim'!M35</f>
        <v/>
      </c>
      <c r="N21" s="18">
        <f>Girdiler!$C$48*'Uretim'!N35</f>
        <v/>
      </c>
      <c r="O21" s="18">
        <f>Girdiler!$C$48*'Uretim'!O35</f>
        <v/>
      </c>
      <c r="P21" s="18">
        <f>Girdiler!$C$48*'Uretim'!P35</f>
        <v/>
      </c>
      <c r="Q21" s="18">
        <f>Girdiler!$C$48*'Uretim'!Q35</f>
        <v/>
      </c>
      <c r="R21" s="18">
        <f>Girdiler!$C$48*'Uretim'!R35</f>
        <v/>
      </c>
      <c r="S21" s="18">
        <f>Girdiler!$C$48*'Uretim'!S35</f>
        <v/>
      </c>
      <c r="T21" s="18">
        <f>Girdiler!$C$48*'Uretim'!T35</f>
        <v/>
      </c>
      <c r="U21" s="18">
        <f>Girdiler!$C$48*'Uretim'!U35</f>
        <v/>
      </c>
      <c r="V21" s="18">
        <f>Girdiler!$C$48*'Uretim'!V35</f>
        <v/>
      </c>
      <c r="W21" s="18">
        <f>Girdiler!$C$48*'Uretim'!W35</f>
        <v/>
      </c>
      <c r="X21" s="18">
        <f>Girdiler!$C$48*'Uretim'!X35</f>
        <v/>
      </c>
      <c r="Y21" s="18">
        <f>Girdiler!$C$48*'Uretim'!Y35</f>
        <v/>
      </c>
      <c r="Z21" s="18">
        <f>Girdiler!$C$48*'Uretim'!Z35</f>
        <v/>
      </c>
      <c r="AA21" s="18">
        <f>Girdiler!$C$48*'Uretim'!AA35</f>
        <v/>
      </c>
      <c r="AB21" s="18">
        <f>Girdiler!$C$48*'Uretim'!AB35</f>
        <v/>
      </c>
      <c r="AC21" s="18">
        <f>Girdiler!$C$48*'Uretim'!AC35</f>
        <v/>
      </c>
      <c r="AD21" s="18">
        <f>Girdiler!$C$48*'Uretim'!AD35</f>
        <v/>
      </c>
      <c r="AE21" s="18">
        <f>Girdiler!$C$48*'Uretim'!AE35</f>
        <v/>
      </c>
      <c r="AF21" s="18">
        <f>Girdiler!$C$48*'Uretim'!AF35</f>
        <v/>
      </c>
      <c r="AG21" s="18">
        <f>Girdiler!$C$48*'Uretim'!AG35</f>
        <v/>
      </c>
      <c r="AH21" s="18">
        <f>Girdiler!$C$48*'Uretim'!AH35</f>
        <v/>
      </c>
      <c r="AI21" s="18">
        <f>Girdiler!$C$48*'Uretim'!AI35</f>
        <v/>
      </c>
      <c r="AJ21" s="18">
        <f>Girdiler!$C$48*'Uretim'!AJ35</f>
        <v/>
      </c>
      <c r="AK21" s="18">
        <f>Girdiler!$C$48*'Uretim'!AK35</f>
        <v/>
      </c>
      <c r="AL21" s="18">
        <f>Girdiler!$C$48*'Uretim'!AL35</f>
        <v/>
      </c>
      <c r="AM21" s="18">
        <f>Girdiler!$C$48*'Uretim'!AM35</f>
        <v/>
      </c>
      <c r="AN21" s="18">
        <f>Girdiler!$C$48*'Uretim'!AN35</f>
        <v/>
      </c>
      <c r="AO21" s="18">
        <f>Girdiler!$C$48*'Uretim'!AO35</f>
        <v/>
      </c>
      <c r="AP21" s="18">
        <f>Girdiler!$C$48*'Uretim'!AP35</f>
        <v/>
      </c>
      <c r="AQ21" s="18">
        <f>Girdiler!$C$48*'Uretim'!AQ35</f>
        <v/>
      </c>
      <c r="AR21" s="18">
        <f>Girdiler!$C$48*'Uretim'!AR35</f>
        <v/>
      </c>
    </row>
    <row r="22">
      <c r="A22" t="inlineStr">
        <is>
          <t>Batarya dengesizlik azaltımı</t>
        </is>
      </c>
      <c r="B22" t="inlineStr">
        <is>
          <t>oran</t>
        </is>
      </c>
      <c r="C22" t="inlineStr"/>
      <c r="E22" s="25" t="n">
        <v>0</v>
      </c>
      <c r="F22" s="25">
        <f>IF('Zaman'!F13=1,Girdiler!$C$49*MIN(MAX(Girdiler!$C$25-'Uretim'!F28/8760,0)/(Girdiler!$C$50*Girdiler!$C$24),1),0)</f>
        <v/>
      </c>
      <c r="G22" s="25">
        <f>IF('Zaman'!G13=1,Girdiler!$C$49*MIN(MAX(Girdiler!$C$25-'Uretim'!G28/8760,0)/(Girdiler!$C$50*Girdiler!$C$24),1),0)</f>
        <v/>
      </c>
      <c r="H22" s="25">
        <f>IF('Zaman'!H13=1,Girdiler!$C$49*MIN(MAX(Girdiler!$C$25-'Uretim'!H28/8760,0)/(Girdiler!$C$50*Girdiler!$C$24),1),0)</f>
        <v/>
      </c>
      <c r="I22" s="25">
        <f>IF('Zaman'!I13=1,Girdiler!$C$49*MIN(MAX(Girdiler!$C$25-'Uretim'!I28/8760,0)/(Girdiler!$C$50*Girdiler!$C$24),1),0)</f>
        <v/>
      </c>
      <c r="J22" s="25">
        <f>IF('Zaman'!J13=1,Girdiler!$C$49*MIN(MAX(Girdiler!$C$25-'Uretim'!J28/8760,0)/(Girdiler!$C$50*Girdiler!$C$24),1),0)</f>
        <v/>
      </c>
      <c r="K22" s="25">
        <f>IF('Zaman'!K13=1,Girdiler!$C$49*MIN(MAX(Girdiler!$C$25-'Uretim'!K28/8760,0)/(Girdiler!$C$50*Girdiler!$C$24),1),0)</f>
        <v/>
      </c>
      <c r="L22" s="25">
        <f>IF('Zaman'!L13=1,Girdiler!$C$49*MIN(MAX(Girdiler!$C$25-'Uretim'!L28/8760,0)/(Girdiler!$C$50*Girdiler!$C$24),1),0)</f>
        <v/>
      </c>
      <c r="M22" s="25">
        <f>IF('Zaman'!M13=1,Girdiler!$C$49*MIN(MAX(Girdiler!$C$25-'Uretim'!M28/8760,0)/(Girdiler!$C$50*Girdiler!$C$24),1),0)</f>
        <v/>
      </c>
      <c r="N22" s="25">
        <f>IF('Zaman'!N13=1,Girdiler!$C$49*MIN(MAX(Girdiler!$C$25-'Uretim'!N28/8760,0)/(Girdiler!$C$50*Girdiler!$C$24),1),0)</f>
        <v/>
      </c>
      <c r="O22" s="25">
        <f>IF('Zaman'!O13=1,Girdiler!$C$49*MIN(MAX(Girdiler!$C$25-'Uretim'!O28/8760,0)/(Girdiler!$C$50*Girdiler!$C$24),1),0)</f>
        <v/>
      </c>
      <c r="P22" s="25">
        <f>IF('Zaman'!P13=1,Girdiler!$C$49*MIN(MAX(Girdiler!$C$25-'Uretim'!P28/8760,0)/(Girdiler!$C$50*Girdiler!$C$24),1),0)</f>
        <v/>
      </c>
      <c r="Q22" s="25">
        <f>IF('Zaman'!Q13=1,Girdiler!$C$49*MIN(MAX(Girdiler!$C$25-'Uretim'!Q28/8760,0)/(Girdiler!$C$50*Girdiler!$C$24),1),0)</f>
        <v/>
      </c>
      <c r="R22" s="25">
        <f>IF('Zaman'!R13=1,Girdiler!$C$49*MIN(MAX(Girdiler!$C$25-'Uretim'!R28/8760,0)/(Girdiler!$C$50*Girdiler!$C$24),1),0)</f>
        <v/>
      </c>
      <c r="S22" s="25">
        <f>IF('Zaman'!S13=1,Girdiler!$C$49*MIN(MAX(Girdiler!$C$25-'Uretim'!S28/8760,0)/(Girdiler!$C$50*Girdiler!$C$24),1),0)</f>
        <v/>
      </c>
      <c r="T22" s="25">
        <f>IF('Zaman'!T13=1,Girdiler!$C$49*MIN(MAX(Girdiler!$C$25-'Uretim'!T28/8760,0)/(Girdiler!$C$50*Girdiler!$C$24),1),0)</f>
        <v/>
      </c>
      <c r="U22" s="25">
        <f>IF('Zaman'!U13=1,Girdiler!$C$49*MIN(MAX(Girdiler!$C$25-'Uretim'!U28/8760,0)/(Girdiler!$C$50*Girdiler!$C$24),1),0)</f>
        <v/>
      </c>
      <c r="V22" s="25">
        <f>IF('Zaman'!V13=1,Girdiler!$C$49*MIN(MAX(Girdiler!$C$25-'Uretim'!V28/8760,0)/(Girdiler!$C$50*Girdiler!$C$24),1),0)</f>
        <v/>
      </c>
      <c r="W22" s="25">
        <f>IF('Zaman'!W13=1,Girdiler!$C$49*MIN(MAX(Girdiler!$C$25-'Uretim'!W28/8760,0)/(Girdiler!$C$50*Girdiler!$C$24),1),0)</f>
        <v/>
      </c>
      <c r="X22" s="25">
        <f>IF('Zaman'!X13=1,Girdiler!$C$49*MIN(MAX(Girdiler!$C$25-'Uretim'!X28/8760,0)/(Girdiler!$C$50*Girdiler!$C$24),1),0)</f>
        <v/>
      </c>
      <c r="Y22" s="25">
        <f>IF('Zaman'!Y13=1,Girdiler!$C$49*MIN(MAX(Girdiler!$C$25-'Uretim'!Y28/8760,0)/(Girdiler!$C$50*Girdiler!$C$24),1),0)</f>
        <v/>
      </c>
      <c r="Z22" s="25">
        <f>IF('Zaman'!Z13=1,Girdiler!$C$49*MIN(MAX(Girdiler!$C$25-'Uretim'!Z28/8760,0)/(Girdiler!$C$50*Girdiler!$C$24),1),0)</f>
        <v/>
      </c>
      <c r="AA22" s="25">
        <f>IF('Zaman'!AA13=1,Girdiler!$C$49*MIN(MAX(Girdiler!$C$25-'Uretim'!AA28/8760,0)/(Girdiler!$C$50*Girdiler!$C$24),1),0)</f>
        <v/>
      </c>
      <c r="AB22" s="25">
        <f>IF('Zaman'!AB13=1,Girdiler!$C$49*MIN(MAX(Girdiler!$C$25-'Uretim'!AB28/8760,0)/(Girdiler!$C$50*Girdiler!$C$24),1),0)</f>
        <v/>
      </c>
      <c r="AC22" s="25">
        <f>IF('Zaman'!AC13=1,Girdiler!$C$49*MIN(MAX(Girdiler!$C$25-'Uretim'!AC28/8760,0)/(Girdiler!$C$50*Girdiler!$C$24),1),0)</f>
        <v/>
      </c>
      <c r="AD22" s="25">
        <f>IF('Zaman'!AD13=1,Girdiler!$C$49*MIN(MAX(Girdiler!$C$25-'Uretim'!AD28/8760,0)/(Girdiler!$C$50*Girdiler!$C$24),1),0)</f>
        <v/>
      </c>
      <c r="AE22" s="25">
        <f>IF('Zaman'!AE13=1,Girdiler!$C$49*MIN(MAX(Girdiler!$C$25-'Uretim'!AE28/8760,0)/(Girdiler!$C$50*Girdiler!$C$24),1),0)</f>
        <v/>
      </c>
      <c r="AF22" s="25">
        <f>IF('Zaman'!AF13=1,Girdiler!$C$49*MIN(MAX(Girdiler!$C$25-'Uretim'!AF28/8760,0)/(Girdiler!$C$50*Girdiler!$C$24),1),0)</f>
        <v/>
      </c>
      <c r="AG22" s="25">
        <f>IF('Zaman'!AG13=1,Girdiler!$C$49*MIN(MAX(Girdiler!$C$25-'Uretim'!AG28/8760,0)/(Girdiler!$C$50*Girdiler!$C$24),1),0)</f>
        <v/>
      </c>
      <c r="AH22" s="25">
        <f>IF('Zaman'!AH13=1,Girdiler!$C$49*MIN(MAX(Girdiler!$C$25-'Uretim'!AH28/8760,0)/(Girdiler!$C$50*Girdiler!$C$24),1),0)</f>
        <v/>
      </c>
      <c r="AI22" s="25">
        <f>IF('Zaman'!AI13=1,Girdiler!$C$49*MIN(MAX(Girdiler!$C$25-'Uretim'!AI28/8760,0)/(Girdiler!$C$50*Girdiler!$C$24),1),0)</f>
        <v/>
      </c>
      <c r="AJ22" s="25">
        <f>IF('Zaman'!AJ13=1,Girdiler!$C$49*MIN(MAX(Girdiler!$C$25-'Uretim'!AJ28/8760,0)/(Girdiler!$C$50*Girdiler!$C$24),1),0)</f>
        <v/>
      </c>
      <c r="AK22" s="25">
        <f>IF('Zaman'!AK13=1,Girdiler!$C$49*MIN(MAX(Girdiler!$C$25-'Uretim'!AK28/8760,0)/(Girdiler!$C$50*Girdiler!$C$24),1),0)</f>
        <v/>
      </c>
      <c r="AL22" s="25">
        <f>IF('Zaman'!AL13=1,Girdiler!$C$49*MIN(MAX(Girdiler!$C$25-'Uretim'!AL28/8760,0)/(Girdiler!$C$50*Girdiler!$C$24),1),0)</f>
        <v/>
      </c>
      <c r="AM22" s="25">
        <f>IF('Zaman'!AM13=1,Girdiler!$C$49*MIN(MAX(Girdiler!$C$25-'Uretim'!AM28/8760,0)/(Girdiler!$C$50*Girdiler!$C$24),1),0)</f>
        <v/>
      </c>
      <c r="AN22" s="25">
        <f>IF('Zaman'!AN13=1,Girdiler!$C$49*MIN(MAX(Girdiler!$C$25-'Uretim'!AN28/8760,0)/(Girdiler!$C$50*Girdiler!$C$24),1),0)</f>
        <v/>
      </c>
      <c r="AO22" s="25">
        <f>IF('Zaman'!AO13=1,Girdiler!$C$49*MIN(MAX(Girdiler!$C$25-'Uretim'!AO28/8760,0)/(Girdiler!$C$50*Girdiler!$C$24),1),0)</f>
        <v/>
      </c>
      <c r="AP22" s="25">
        <f>IF('Zaman'!AP13=1,Girdiler!$C$49*MIN(MAX(Girdiler!$C$25-'Uretim'!AP28/8760,0)/(Girdiler!$C$50*Girdiler!$C$24),1),0)</f>
        <v/>
      </c>
      <c r="AQ22" s="25">
        <f>IF('Zaman'!AQ13=1,Girdiler!$C$49*MIN(MAX(Girdiler!$C$25-'Uretim'!AQ28/8760,0)/(Girdiler!$C$50*Girdiler!$C$24),1),0)</f>
        <v/>
      </c>
      <c r="AR22" s="25">
        <f>IF('Zaman'!AR13=1,Girdiler!$C$49*MIN(MAX(Girdiler!$C$25-'Uretim'!AR28/8760,0)/(Girdiler!$C$50*Girdiler!$C$24),1),0)</f>
        <v/>
      </c>
    </row>
    <row r="23">
      <c r="A23" t="inlineStr">
        <is>
          <t>Eşzamanlılık düzeltmesi</t>
        </is>
      </c>
      <c r="B23" t="inlineStr">
        <is>
          <t>USD</t>
        </is>
      </c>
      <c r="C23" t="inlineStr"/>
      <c r="D23" s="18">
        <f>SUM(F23:AR23)</f>
        <v/>
      </c>
      <c r="E23" s="18" t="n">
        <v>0</v>
      </c>
      <c r="F23" s="18">
        <f>Girdiler!$C$47*Girdiler!$C$18*'Uretim'!F34*(1-'Zaman'!F16)</f>
        <v/>
      </c>
      <c r="G23" s="18">
        <f>Girdiler!$C$47*Girdiler!$C$18*'Uretim'!G34*(1-'Zaman'!G16)</f>
        <v/>
      </c>
      <c r="H23" s="18">
        <f>Girdiler!$C$47*Girdiler!$C$18*'Uretim'!H34*(1-'Zaman'!H16)</f>
        <v/>
      </c>
      <c r="I23" s="18">
        <f>Girdiler!$C$47*Girdiler!$C$18*'Uretim'!I34*(1-'Zaman'!I16)</f>
        <v/>
      </c>
      <c r="J23" s="18">
        <f>Girdiler!$C$47*Girdiler!$C$18*'Uretim'!J34*(1-'Zaman'!J16)</f>
        <v/>
      </c>
      <c r="K23" s="18">
        <f>Girdiler!$C$47*Girdiler!$C$18*'Uretim'!K34*(1-'Zaman'!K16)</f>
        <v/>
      </c>
      <c r="L23" s="18">
        <f>Girdiler!$C$47*Girdiler!$C$18*'Uretim'!L34*(1-'Zaman'!L16)</f>
        <v/>
      </c>
      <c r="M23" s="18">
        <f>Girdiler!$C$47*Girdiler!$C$18*'Uretim'!M34*(1-'Zaman'!M16)</f>
        <v/>
      </c>
      <c r="N23" s="18">
        <f>Girdiler!$C$47*Girdiler!$C$18*'Uretim'!N34*(1-'Zaman'!N16)</f>
        <v/>
      </c>
      <c r="O23" s="18">
        <f>Girdiler!$C$47*Girdiler!$C$18*'Uretim'!O34*(1-'Zaman'!O16)</f>
        <v/>
      </c>
      <c r="P23" s="18">
        <f>Girdiler!$C$47*Girdiler!$C$18*'Uretim'!P34*(1-'Zaman'!P16)</f>
        <v/>
      </c>
      <c r="Q23" s="18">
        <f>Girdiler!$C$47*Girdiler!$C$18*'Uretim'!Q34*(1-'Zaman'!Q16)</f>
        <v/>
      </c>
      <c r="R23" s="18">
        <f>Girdiler!$C$47*Girdiler!$C$18*'Uretim'!R34*(1-'Zaman'!R16)</f>
        <v/>
      </c>
      <c r="S23" s="18">
        <f>Girdiler!$C$47*Girdiler!$C$18*'Uretim'!S34*(1-'Zaman'!S16)</f>
        <v/>
      </c>
      <c r="T23" s="18">
        <f>Girdiler!$C$47*Girdiler!$C$18*'Uretim'!T34*(1-'Zaman'!T16)</f>
        <v/>
      </c>
      <c r="U23" s="18">
        <f>Girdiler!$C$47*Girdiler!$C$18*'Uretim'!U34*(1-'Zaman'!U16)</f>
        <v/>
      </c>
      <c r="V23" s="18">
        <f>Girdiler!$C$47*Girdiler!$C$18*'Uretim'!V34*(1-'Zaman'!V16)</f>
        <v/>
      </c>
      <c r="W23" s="18">
        <f>Girdiler!$C$47*Girdiler!$C$18*'Uretim'!W34*(1-'Zaman'!W16)</f>
        <v/>
      </c>
      <c r="X23" s="18">
        <f>Girdiler!$C$47*Girdiler!$C$18*'Uretim'!X34*(1-'Zaman'!X16)</f>
        <v/>
      </c>
      <c r="Y23" s="18">
        <f>Girdiler!$C$47*Girdiler!$C$18*'Uretim'!Y34*(1-'Zaman'!Y16)</f>
        <v/>
      </c>
      <c r="Z23" s="18">
        <f>Girdiler!$C$47*Girdiler!$C$18*'Uretim'!Z34*(1-'Zaman'!Z16)</f>
        <v/>
      </c>
      <c r="AA23" s="18">
        <f>Girdiler!$C$47*Girdiler!$C$18*'Uretim'!AA34*(1-'Zaman'!AA16)</f>
        <v/>
      </c>
      <c r="AB23" s="18">
        <f>Girdiler!$C$47*Girdiler!$C$18*'Uretim'!AB34*(1-'Zaman'!AB16)</f>
        <v/>
      </c>
      <c r="AC23" s="18">
        <f>Girdiler!$C$47*Girdiler!$C$18*'Uretim'!AC34*(1-'Zaman'!AC16)</f>
        <v/>
      </c>
      <c r="AD23" s="18">
        <f>Girdiler!$C$47*Girdiler!$C$18*'Uretim'!AD34*(1-'Zaman'!AD16)</f>
        <v/>
      </c>
      <c r="AE23" s="18">
        <f>Girdiler!$C$47*Girdiler!$C$18*'Uretim'!AE34*(1-'Zaman'!AE16)</f>
        <v/>
      </c>
      <c r="AF23" s="18">
        <f>Girdiler!$C$47*Girdiler!$C$18*'Uretim'!AF34*(1-'Zaman'!AF16)</f>
        <v/>
      </c>
      <c r="AG23" s="18">
        <f>Girdiler!$C$47*Girdiler!$C$18*'Uretim'!AG34*(1-'Zaman'!AG16)</f>
        <v/>
      </c>
      <c r="AH23" s="18">
        <f>Girdiler!$C$47*Girdiler!$C$18*'Uretim'!AH34*(1-'Zaman'!AH16)</f>
        <v/>
      </c>
      <c r="AI23" s="18">
        <f>Girdiler!$C$47*Girdiler!$C$18*'Uretim'!AI34*(1-'Zaman'!AI16)</f>
        <v/>
      </c>
      <c r="AJ23" s="18">
        <f>Girdiler!$C$47*Girdiler!$C$18*'Uretim'!AJ34*(1-'Zaman'!AJ16)</f>
        <v/>
      </c>
      <c r="AK23" s="18">
        <f>Girdiler!$C$47*Girdiler!$C$18*'Uretim'!AK34*(1-'Zaman'!AK16)</f>
        <v/>
      </c>
      <c r="AL23" s="18">
        <f>Girdiler!$C$47*Girdiler!$C$18*'Uretim'!AL34*(1-'Zaman'!AL16)</f>
        <v/>
      </c>
      <c r="AM23" s="18">
        <f>Girdiler!$C$47*Girdiler!$C$18*'Uretim'!AM34*(1-'Zaman'!AM16)</f>
        <v/>
      </c>
      <c r="AN23" s="18">
        <f>Girdiler!$C$47*Girdiler!$C$18*'Uretim'!AN34*(1-'Zaman'!AN16)</f>
        <v/>
      </c>
      <c r="AO23" s="18">
        <f>Girdiler!$C$47*Girdiler!$C$18*'Uretim'!AO34*(1-'Zaman'!AO16)</f>
        <v/>
      </c>
      <c r="AP23" s="18">
        <f>Girdiler!$C$47*Girdiler!$C$18*'Uretim'!AP34*(1-'Zaman'!AP16)</f>
        <v/>
      </c>
      <c r="AQ23" s="18">
        <f>Girdiler!$C$47*Girdiler!$C$18*'Uretim'!AQ34*(1-'Zaman'!AQ16)</f>
        <v/>
      </c>
      <c r="AR23" s="18">
        <f>Girdiler!$C$47*Girdiler!$C$18*'Uretim'!AR34*(1-'Zaman'!AR16)</f>
        <v/>
      </c>
    </row>
    <row r="24">
      <c r="A24" t="inlineStr">
        <is>
          <t>Dengesizlik maliyeti</t>
        </is>
      </c>
      <c r="B24" t="inlineStr">
        <is>
          <t>USD</t>
        </is>
      </c>
      <c r="C24" t="inlineStr"/>
      <c r="D24" s="18">
        <f>SUM(F24:AR24)</f>
        <v/>
      </c>
      <c r="E24" s="18" t="n">
        <v>0</v>
      </c>
      <c r="F24" s="18">
        <f>Girdiler!$C$46*('Gelir'!F18-'Gelir'!F23)*(1-'Gelir'!F22)</f>
        <v/>
      </c>
      <c r="G24" s="18">
        <f>Girdiler!$C$46*('Gelir'!G18-'Gelir'!G23)*(1-'Gelir'!G22)</f>
        <v/>
      </c>
      <c r="H24" s="18">
        <f>Girdiler!$C$46*('Gelir'!H18-'Gelir'!H23)*(1-'Gelir'!H22)</f>
        <v/>
      </c>
      <c r="I24" s="18">
        <f>Girdiler!$C$46*('Gelir'!I18-'Gelir'!I23)*(1-'Gelir'!I22)</f>
        <v/>
      </c>
      <c r="J24" s="18">
        <f>Girdiler!$C$46*('Gelir'!J18-'Gelir'!J23)*(1-'Gelir'!J22)</f>
        <v/>
      </c>
      <c r="K24" s="18">
        <f>Girdiler!$C$46*('Gelir'!K18-'Gelir'!K23)*(1-'Gelir'!K22)</f>
        <v/>
      </c>
      <c r="L24" s="18">
        <f>Girdiler!$C$46*('Gelir'!L18-'Gelir'!L23)*(1-'Gelir'!L22)</f>
        <v/>
      </c>
      <c r="M24" s="18">
        <f>Girdiler!$C$46*('Gelir'!M18-'Gelir'!M23)*(1-'Gelir'!M22)</f>
        <v/>
      </c>
      <c r="N24" s="18">
        <f>Girdiler!$C$46*('Gelir'!N18-'Gelir'!N23)*(1-'Gelir'!N22)</f>
        <v/>
      </c>
      <c r="O24" s="18">
        <f>Girdiler!$C$46*('Gelir'!O18-'Gelir'!O23)*(1-'Gelir'!O22)</f>
        <v/>
      </c>
      <c r="P24" s="18">
        <f>Girdiler!$C$46*('Gelir'!P18-'Gelir'!P23)*(1-'Gelir'!P22)</f>
        <v/>
      </c>
      <c r="Q24" s="18">
        <f>Girdiler!$C$46*('Gelir'!Q18-'Gelir'!Q23)*(1-'Gelir'!Q22)</f>
        <v/>
      </c>
      <c r="R24" s="18">
        <f>Girdiler!$C$46*('Gelir'!R18-'Gelir'!R23)*(1-'Gelir'!R22)</f>
        <v/>
      </c>
      <c r="S24" s="18">
        <f>Girdiler!$C$46*('Gelir'!S18-'Gelir'!S23)*(1-'Gelir'!S22)</f>
        <v/>
      </c>
      <c r="T24" s="18">
        <f>Girdiler!$C$46*('Gelir'!T18-'Gelir'!T23)*(1-'Gelir'!T22)</f>
        <v/>
      </c>
      <c r="U24" s="18">
        <f>Girdiler!$C$46*('Gelir'!U18-'Gelir'!U23)*(1-'Gelir'!U22)</f>
        <v/>
      </c>
      <c r="V24" s="18">
        <f>Girdiler!$C$46*('Gelir'!V18-'Gelir'!V23)*(1-'Gelir'!V22)</f>
        <v/>
      </c>
      <c r="W24" s="18">
        <f>Girdiler!$C$46*('Gelir'!W18-'Gelir'!W23)*(1-'Gelir'!W22)</f>
        <v/>
      </c>
      <c r="X24" s="18">
        <f>Girdiler!$C$46*('Gelir'!X18-'Gelir'!X23)*(1-'Gelir'!X22)</f>
        <v/>
      </c>
      <c r="Y24" s="18">
        <f>Girdiler!$C$46*('Gelir'!Y18-'Gelir'!Y23)*(1-'Gelir'!Y22)</f>
        <v/>
      </c>
      <c r="Z24" s="18">
        <f>Girdiler!$C$46*('Gelir'!Z18-'Gelir'!Z23)*(1-'Gelir'!Z22)</f>
        <v/>
      </c>
      <c r="AA24" s="18">
        <f>Girdiler!$C$46*('Gelir'!AA18-'Gelir'!AA23)*(1-'Gelir'!AA22)</f>
        <v/>
      </c>
      <c r="AB24" s="18">
        <f>Girdiler!$C$46*('Gelir'!AB18-'Gelir'!AB23)*(1-'Gelir'!AB22)</f>
        <v/>
      </c>
      <c r="AC24" s="18">
        <f>Girdiler!$C$46*('Gelir'!AC18-'Gelir'!AC23)*(1-'Gelir'!AC22)</f>
        <v/>
      </c>
      <c r="AD24" s="18">
        <f>Girdiler!$C$46*('Gelir'!AD18-'Gelir'!AD23)*(1-'Gelir'!AD22)</f>
        <v/>
      </c>
      <c r="AE24" s="18">
        <f>Girdiler!$C$46*('Gelir'!AE18-'Gelir'!AE23)*(1-'Gelir'!AE22)</f>
        <v/>
      </c>
      <c r="AF24" s="18">
        <f>Girdiler!$C$46*('Gelir'!AF18-'Gelir'!AF23)*(1-'Gelir'!AF22)</f>
        <v/>
      </c>
      <c r="AG24" s="18">
        <f>Girdiler!$C$46*('Gelir'!AG18-'Gelir'!AG23)*(1-'Gelir'!AG22)</f>
        <v/>
      </c>
      <c r="AH24" s="18">
        <f>Girdiler!$C$46*('Gelir'!AH18-'Gelir'!AH23)*(1-'Gelir'!AH22)</f>
        <v/>
      </c>
      <c r="AI24" s="18">
        <f>Girdiler!$C$46*('Gelir'!AI18-'Gelir'!AI23)*(1-'Gelir'!AI22)</f>
        <v/>
      </c>
      <c r="AJ24" s="18">
        <f>Girdiler!$C$46*('Gelir'!AJ18-'Gelir'!AJ23)*(1-'Gelir'!AJ22)</f>
        <v/>
      </c>
      <c r="AK24" s="18">
        <f>Girdiler!$C$46*('Gelir'!AK18-'Gelir'!AK23)*(1-'Gelir'!AK22)</f>
        <v/>
      </c>
      <c r="AL24" s="18">
        <f>Girdiler!$C$46*('Gelir'!AL18-'Gelir'!AL23)*(1-'Gelir'!AL22)</f>
        <v/>
      </c>
      <c r="AM24" s="18">
        <f>Girdiler!$C$46*('Gelir'!AM18-'Gelir'!AM23)*(1-'Gelir'!AM22)</f>
        <v/>
      </c>
      <c r="AN24" s="18">
        <f>Girdiler!$C$46*('Gelir'!AN18-'Gelir'!AN23)*(1-'Gelir'!AN22)</f>
        <v/>
      </c>
      <c r="AO24" s="18">
        <f>Girdiler!$C$46*('Gelir'!AO18-'Gelir'!AO23)*(1-'Gelir'!AO22)</f>
        <v/>
      </c>
      <c r="AP24" s="18">
        <f>Girdiler!$C$46*('Gelir'!AP18-'Gelir'!AP23)*(1-'Gelir'!AP22)</f>
        <v/>
      </c>
      <c r="AQ24" s="18">
        <f>Girdiler!$C$46*('Gelir'!AQ18-'Gelir'!AQ23)*(1-'Gelir'!AQ22)</f>
        <v/>
      </c>
      <c r="AR24" s="18">
        <f>Girdiler!$C$46*('Gelir'!AR18-'Gelir'!AR23)*(1-'Gelir'!AR22)</f>
        <v/>
      </c>
    </row>
    <row r="25">
      <c r="A25" t="inlineStr">
        <is>
          <t>Toplam gelir</t>
        </is>
      </c>
      <c r="B25" t="inlineStr">
        <is>
          <t>USD</t>
        </is>
      </c>
      <c r="C25" t="inlineStr"/>
      <c r="D25" s="18">
        <f>SUM(F25:AR25)</f>
        <v/>
      </c>
      <c r="E25" s="18" t="n">
        <v>0</v>
      </c>
      <c r="F25" s="18">
        <f>'Gelir'!F18+'Gelir'!F19+'Gelir'!F20+'Gelir'!F21</f>
        <v/>
      </c>
      <c r="G25" s="18">
        <f>'Gelir'!G18+'Gelir'!G19+'Gelir'!G20+'Gelir'!G21</f>
        <v/>
      </c>
      <c r="H25" s="18">
        <f>'Gelir'!H18+'Gelir'!H19+'Gelir'!H20+'Gelir'!H21</f>
        <v/>
      </c>
      <c r="I25" s="18">
        <f>'Gelir'!I18+'Gelir'!I19+'Gelir'!I20+'Gelir'!I21</f>
        <v/>
      </c>
      <c r="J25" s="18">
        <f>'Gelir'!J18+'Gelir'!J19+'Gelir'!J20+'Gelir'!J21</f>
        <v/>
      </c>
      <c r="K25" s="18">
        <f>'Gelir'!K18+'Gelir'!K19+'Gelir'!K20+'Gelir'!K21</f>
        <v/>
      </c>
      <c r="L25" s="18">
        <f>'Gelir'!L18+'Gelir'!L19+'Gelir'!L20+'Gelir'!L21</f>
        <v/>
      </c>
      <c r="M25" s="18">
        <f>'Gelir'!M18+'Gelir'!M19+'Gelir'!M20+'Gelir'!M21</f>
        <v/>
      </c>
      <c r="N25" s="18">
        <f>'Gelir'!N18+'Gelir'!N19+'Gelir'!N20+'Gelir'!N21</f>
        <v/>
      </c>
      <c r="O25" s="18">
        <f>'Gelir'!O18+'Gelir'!O19+'Gelir'!O20+'Gelir'!O21</f>
        <v/>
      </c>
      <c r="P25" s="18">
        <f>'Gelir'!P18+'Gelir'!P19+'Gelir'!P20+'Gelir'!P21</f>
        <v/>
      </c>
      <c r="Q25" s="18">
        <f>'Gelir'!Q18+'Gelir'!Q19+'Gelir'!Q20+'Gelir'!Q21</f>
        <v/>
      </c>
      <c r="R25" s="18">
        <f>'Gelir'!R18+'Gelir'!R19+'Gelir'!R20+'Gelir'!R21</f>
        <v/>
      </c>
      <c r="S25" s="18">
        <f>'Gelir'!S18+'Gelir'!S19+'Gelir'!S20+'Gelir'!S21</f>
        <v/>
      </c>
      <c r="T25" s="18">
        <f>'Gelir'!T18+'Gelir'!T19+'Gelir'!T20+'Gelir'!T21</f>
        <v/>
      </c>
      <c r="U25" s="18">
        <f>'Gelir'!U18+'Gelir'!U19+'Gelir'!U20+'Gelir'!U21</f>
        <v/>
      </c>
      <c r="V25" s="18">
        <f>'Gelir'!V18+'Gelir'!V19+'Gelir'!V20+'Gelir'!V21</f>
        <v/>
      </c>
      <c r="W25" s="18">
        <f>'Gelir'!W18+'Gelir'!W19+'Gelir'!W20+'Gelir'!W21</f>
        <v/>
      </c>
      <c r="X25" s="18">
        <f>'Gelir'!X18+'Gelir'!X19+'Gelir'!X20+'Gelir'!X21</f>
        <v/>
      </c>
      <c r="Y25" s="18">
        <f>'Gelir'!Y18+'Gelir'!Y19+'Gelir'!Y20+'Gelir'!Y21</f>
        <v/>
      </c>
      <c r="Z25" s="18">
        <f>'Gelir'!Z18+'Gelir'!Z19+'Gelir'!Z20+'Gelir'!Z21</f>
        <v/>
      </c>
      <c r="AA25" s="18">
        <f>'Gelir'!AA18+'Gelir'!AA19+'Gelir'!AA20+'Gelir'!AA21</f>
        <v/>
      </c>
      <c r="AB25" s="18">
        <f>'Gelir'!AB18+'Gelir'!AB19+'Gelir'!AB20+'Gelir'!AB21</f>
        <v/>
      </c>
      <c r="AC25" s="18">
        <f>'Gelir'!AC18+'Gelir'!AC19+'Gelir'!AC20+'Gelir'!AC21</f>
        <v/>
      </c>
      <c r="AD25" s="18">
        <f>'Gelir'!AD18+'Gelir'!AD19+'Gelir'!AD20+'Gelir'!AD21</f>
        <v/>
      </c>
      <c r="AE25" s="18">
        <f>'Gelir'!AE18+'Gelir'!AE19+'Gelir'!AE20+'Gelir'!AE21</f>
        <v/>
      </c>
      <c r="AF25" s="18">
        <f>'Gelir'!AF18+'Gelir'!AF19+'Gelir'!AF20+'Gelir'!AF21</f>
        <v/>
      </c>
      <c r="AG25" s="18">
        <f>'Gelir'!AG18+'Gelir'!AG19+'Gelir'!AG20+'Gelir'!AG21</f>
        <v/>
      </c>
      <c r="AH25" s="18">
        <f>'Gelir'!AH18+'Gelir'!AH19+'Gelir'!AH20+'Gelir'!AH21</f>
        <v/>
      </c>
      <c r="AI25" s="18">
        <f>'Gelir'!AI18+'Gelir'!AI19+'Gelir'!AI20+'Gelir'!AI21</f>
        <v/>
      </c>
      <c r="AJ25" s="18">
        <f>'Gelir'!AJ18+'Gelir'!AJ19+'Gelir'!AJ20+'Gelir'!AJ21</f>
        <v/>
      </c>
      <c r="AK25" s="18">
        <f>'Gelir'!AK18+'Gelir'!AK19+'Gelir'!AK20+'Gelir'!AK21</f>
        <v/>
      </c>
      <c r="AL25" s="18">
        <f>'Gelir'!AL18+'Gelir'!AL19+'Gelir'!AL20+'Gelir'!AL21</f>
        <v/>
      </c>
      <c r="AM25" s="18">
        <f>'Gelir'!AM18+'Gelir'!AM19+'Gelir'!AM20+'Gelir'!AM21</f>
        <v/>
      </c>
      <c r="AN25" s="18">
        <f>'Gelir'!AN18+'Gelir'!AN19+'Gelir'!AN20+'Gelir'!AN21</f>
        <v/>
      </c>
      <c r="AO25" s="18">
        <f>'Gelir'!AO18+'Gelir'!AO19+'Gelir'!AO20+'Gelir'!AO21</f>
        <v/>
      </c>
      <c r="AP25" s="18">
        <f>'Gelir'!AP18+'Gelir'!AP19+'Gelir'!AP20+'Gelir'!AP21</f>
        <v/>
      </c>
      <c r="AQ25" s="18">
        <f>'Gelir'!AQ18+'Gelir'!AQ19+'Gelir'!AQ20+'Gelir'!AQ21</f>
        <v/>
      </c>
      <c r="AR25" s="18">
        <f>'Gelir'!AR18+'Gelir'!AR19+'Gelir'!AR20+'Gelir'!AR21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2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40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9" t="inlineStr">
        <is>
          <t>İşletme giderleri ve FAVÖK</t>
        </is>
      </c>
    </row>
    <row r="2"/>
    <row r="3"/>
    <row r="4">
      <c r="A4" s="8" t="inlineStr">
        <is>
          <t>Kalem</t>
        </is>
      </c>
      <c r="B4" s="8" t="inlineStr">
        <is>
          <t>Birim</t>
        </is>
      </c>
      <c r="C4" s="8" t="inlineStr">
        <is>
          <t>Not / kaynak</t>
        </is>
      </c>
      <c r="D4" s="8" t="inlineStr">
        <is>
          <t>Toplam / değer</t>
        </is>
      </c>
      <c r="E4" s="8" t="inlineStr">
        <is>
          <t>t0 (bugün)</t>
        </is>
      </c>
      <c r="F4" s="8" t="n">
        <v>2026</v>
      </c>
      <c r="G4" s="8" t="n">
        <v>2027</v>
      </c>
      <c r="H4" s="8" t="n">
        <v>2028</v>
      </c>
      <c r="I4" s="8" t="n">
        <v>2029</v>
      </c>
      <c r="J4" s="8" t="n">
        <v>2030</v>
      </c>
      <c r="K4" s="8" t="n">
        <v>2031</v>
      </c>
      <c r="L4" s="8" t="n">
        <v>2032</v>
      </c>
      <c r="M4" s="8" t="n">
        <v>2033</v>
      </c>
      <c r="N4" s="8" t="n">
        <v>2034</v>
      </c>
      <c r="O4" s="8" t="n">
        <v>2035</v>
      </c>
      <c r="P4" s="8" t="n">
        <v>2036</v>
      </c>
      <c r="Q4" s="8" t="n">
        <v>2037</v>
      </c>
      <c r="R4" s="8" t="n">
        <v>2038</v>
      </c>
      <c r="S4" s="8" t="n">
        <v>2039</v>
      </c>
      <c r="T4" s="8" t="n">
        <v>2040</v>
      </c>
      <c r="U4" s="8" t="n">
        <v>2041</v>
      </c>
      <c r="V4" s="8" t="n">
        <v>2042</v>
      </c>
      <c r="W4" s="8" t="n">
        <v>2043</v>
      </c>
      <c r="X4" s="8" t="n">
        <v>2044</v>
      </c>
      <c r="Y4" s="8" t="n">
        <v>2045</v>
      </c>
      <c r="Z4" s="8" t="n">
        <v>2046</v>
      </c>
      <c r="AA4" s="8" t="n">
        <v>2047</v>
      </c>
      <c r="AB4" s="8" t="n">
        <v>2048</v>
      </c>
      <c r="AC4" s="8" t="n">
        <v>2049</v>
      </c>
      <c r="AD4" s="8" t="n">
        <v>2050</v>
      </c>
      <c r="AE4" s="8" t="n">
        <v>2051</v>
      </c>
      <c r="AF4" s="8" t="n">
        <v>2052</v>
      </c>
      <c r="AG4" s="8" t="n">
        <v>2053</v>
      </c>
      <c r="AH4" s="8" t="n">
        <v>2054</v>
      </c>
      <c r="AI4" s="8" t="n">
        <v>2055</v>
      </c>
      <c r="AJ4" s="8" t="n">
        <v>2056</v>
      </c>
      <c r="AK4" s="8" t="n">
        <v>2057</v>
      </c>
      <c r="AL4" s="8" t="n">
        <v>2058</v>
      </c>
      <c r="AM4" s="8" t="n">
        <v>2059</v>
      </c>
      <c r="AN4" s="8" t="n">
        <v>2060</v>
      </c>
      <c r="AO4" s="8" t="n">
        <v>2061</v>
      </c>
      <c r="AP4" s="8" t="n">
        <v>2062</v>
      </c>
      <c r="AQ4" s="8" t="n">
        <v>2063</v>
      </c>
      <c r="AR4" s="8" t="n">
        <v>2064</v>
      </c>
    </row>
    <row r="5"/>
    <row r="6"/>
    <row r="7">
      <c r="A7" s="26" t="inlineStr">
        <is>
          <t>— Blok: seçilen üretim durumu —</t>
        </is>
      </c>
    </row>
    <row r="8">
      <c r="A8" t="inlineStr">
        <is>
          <t>RES sabit O&amp;M + arazi</t>
        </is>
      </c>
      <c r="B8" t="inlineStr">
        <is>
          <t>USD</t>
        </is>
      </c>
      <c r="C8" t="inlineStr"/>
      <c r="D8" s="18">
        <f>SUM(F8:AR8)</f>
        <v/>
      </c>
      <c r="E8" s="18" t="n">
        <v>0</v>
      </c>
      <c r="F8" s="18">
        <f>IF('Zaman'!F9&gt;0,1,0)*(Girdiler!$C$39+Girdiler!$C$40*(1-Girdiler!$C$20))*Girdiler!$C$24</f>
        <v/>
      </c>
      <c r="G8" s="18">
        <f>IF('Zaman'!G9&gt;0,1,0)*(Girdiler!$C$39+Girdiler!$C$40*(1-Girdiler!$C$20))*Girdiler!$C$24</f>
        <v/>
      </c>
      <c r="H8" s="18">
        <f>IF('Zaman'!H9&gt;0,1,0)*(Girdiler!$C$39+Girdiler!$C$40*(1-Girdiler!$C$20))*Girdiler!$C$24</f>
        <v/>
      </c>
      <c r="I8" s="18">
        <f>IF('Zaman'!I9&gt;0,1,0)*(Girdiler!$C$39+Girdiler!$C$40*(1-Girdiler!$C$20))*Girdiler!$C$24</f>
        <v/>
      </c>
      <c r="J8" s="18">
        <f>IF('Zaman'!J9&gt;0,1,0)*(Girdiler!$C$39+Girdiler!$C$40*(1-Girdiler!$C$20))*Girdiler!$C$24</f>
        <v/>
      </c>
      <c r="K8" s="18">
        <f>IF('Zaman'!K9&gt;0,1,0)*(Girdiler!$C$39+Girdiler!$C$40*(1-Girdiler!$C$20))*Girdiler!$C$24</f>
        <v/>
      </c>
      <c r="L8" s="18">
        <f>IF('Zaman'!L9&gt;0,1,0)*(Girdiler!$C$39+Girdiler!$C$40*(1-Girdiler!$C$20))*Girdiler!$C$24</f>
        <v/>
      </c>
      <c r="M8" s="18">
        <f>IF('Zaman'!M9&gt;0,1,0)*(Girdiler!$C$39+Girdiler!$C$40*(1-Girdiler!$C$20))*Girdiler!$C$24</f>
        <v/>
      </c>
      <c r="N8" s="18">
        <f>IF('Zaman'!N9&gt;0,1,0)*(Girdiler!$C$39+Girdiler!$C$40*(1-Girdiler!$C$20))*Girdiler!$C$24</f>
        <v/>
      </c>
      <c r="O8" s="18">
        <f>IF('Zaman'!O9&gt;0,1,0)*(Girdiler!$C$39+Girdiler!$C$40*(1-Girdiler!$C$20))*Girdiler!$C$24</f>
        <v/>
      </c>
      <c r="P8" s="18">
        <f>IF('Zaman'!P9&gt;0,1,0)*(Girdiler!$C$39+Girdiler!$C$40*(1-Girdiler!$C$20))*Girdiler!$C$24</f>
        <v/>
      </c>
      <c r="Q8" s="18">
        <f>IF('Zaman'!Q9&gt;0,1,0)*(Girdiler!$C$39+Girdiler!$C$40*(1-Girdiler!$C$20))*Girdiler!$C$24</f>
        <v/>
      </c>
      <c r="R8" s="18">
        <f>IF('Zaman'!R9&gt;0,1,0)*(Girdiler!$C$39+Girdiler!$C$40*(1-Girdiler!$C$20))*Girdiler!$C$24</f>
        <v/>
      </c>
      <c r="S8" s="18">
        <f>IF('Zaman'!S9&gt;0,1,0)*(Girdiler!$C$39+Girdiler!$C$40*(1-Girdiler!$C$20))*Girdiler!$C$24</f>
        <v/>
      </c>
      <c r="T8" s="18">
        <f>IF('Zaman'!T9&gt;0,1,0)*(Girdiler!$C$39+Girdiler!$C$40*(1-Girdiler!$C$20))*Girdiler!$C$24</f>
        <v/>
      </c>
      <c r="U8" s="18">
        <f>IF('Zaman'!U9&gt;0,1,0)*(Girdiler!$C$39+Girdiler!$C$40*(1-Girdiler!$C$20))*Girdiler!$C$24</f>
        <v/>
      </c>
      <c r="V8" s="18">
        <f>IF('Zaman'!V9&gt;0,1,0)*(Girdiler!$C$39+Girdiler!$C$40*(1-Girdiler!$C$20))*Girdiler!$C$24</f>
        <v/>
      </c>
      <c r="W8" s="18">
        <f>IF('Zaman'!W9&gt;0,1,0)*(Girdiler!$C$39+Girdiler!$C$40*(1-Girdiler!$C$20))*Girdiler!$C$24</f>
        <v/>
      </c>
      <c r="X8" s="18">
        <f>IF('Zaman'!X9&gt;0,1,0)*(Girdiler!$C$39+Girdiler!$C$40*(1-Girdiler!$C$20))*Girdiler!$C$24</f>
        <v/>
      </c>
      <c r="Y8" s="18">
        <f>IF('Zaman'!Y9&gt;0,1,0)*(Girdiler!$C$39+Girdiler!$C$40*(1-Girdiler!$C$20))*Girdiler!$C$24</f>
        <v/>
      </c>
      <c r="Z8" s="18">
        <f>IF('Zaman'!Z9&gt;0,1,0)*(Girdiler!$C$39+Girdiler!$C$40*(1-Girdiler!$C$20))*Girdiler!$C$24</f>
        <v/>
      </c>
      <c r="AA8" s="18">
        <f>IF('Zaman'!AA9&gt;0,1,0)*(Girdiler!$C$39+Girdiler!$C$40*(1-Girdiler!$C$20))*Girdiler!$C$24</f>
        <v/>
      </c>
      <c r="AB8" s="18">
        <f>IF('Zaman'!AB9&gt;0,1,0)*(Girdiler!$C$39+Girdiler!$C$40*(1-Girdiler!$C$20))*Girdiler!$C$24</f>
        <v/>
      </c>
      <c r="AC8" s="18">
        <f>IF('Zaman'!AC9&gt;0,1,0)*(Girdiler!$C$39+Girdiler!$C$40*(1-Girdiler!$C$20))*Girdiler!$C$24</f>
        <v/>
      </c>
      <c r="AD8" s="18">
        <f>IF('Zaman'!AD9&gt;0,1,0)*(Girdiler!$C$39+Girdiler!$C$40*(1-Girdiler!$C$20))*Girdiler!$C$24</f>
        <v/>
      </c>
      <c r="AE8" s="18">
        <f>IF('Zaman'!AE9&gt;0,1,0)*(Girdiler!$C$39+Girdiler!$C$40*(1-Girdiler!$C$20))*Girdiler!$C$24</f>
        <v/>
      </c>
      <c r="AF8" s="18">
        <f>IF('Zaman'!AF9&gt;0,1,0)*(Girdiler!$C$39+Girdiler!$C$40*(1-Girdiler!$C$20))*Girdiler!$C$24</f>
        <v/>
      </c>
      <c r="AG8" s="18">
        <f>IF('Zaman'!AG9&gt;0,1,0)*(Girdiler!$C$39+Girdiler!$C$40*(1-Girdiler!$C$20))*Girdiler!$C$24</f>
        <v/>
      </c>
      <c r="AH8" s="18">
        <f>IF('Zaman'!AH9&gt;0,1,0)*(Girdiler!$C$39+Girdiler!$C$40*(1-Girdiler!$C$20))*Girdiler!$C$24</f>
        <v/>
      </c>
      <c r="AI8" s="18">
        <f>IF('Zaman'!AI9&gt;0,1,0)*(Girdiler!$C$39+Girdiler!$C$40*(1-Girdiler!$C$20))*Girdiler!$C$24</f>
        <v/>
      </c>
      <c r="AJ8" s="18">
        <f>IF('Zaman'!AJ9&gt;0,1,0)*(Girdiler!$C$39+Girdiler!$C$40*(1-Girdiler!$C$20))*Girdiler!$C$24</f>
        <v/>
      </c>
      <c r="AK8" s="18">
        <f>IF('Zaman'!AK9&gt;0,1,0)*(Girdiler!$C$39+Girdiler!$C$40*(1-Girdiler!$C$20))*Girdiler!$C$24</f>
        <v/>
      </c>
      <c r="AL8" s="18">
        <f>IF('Zaman'!AL9&gt;0,1,0)*(Girdiler!$C$39+Girdiler!$C$40*(1-Girdiler!$C$20))*Girdiler!$C$24</f>
        <v/>
      </c>
      <c r="AM8" s="18">
        <f>IF('Zaman'!AM9&gt;0,1,0)*(Girdiler!$C$39+Girdiler!$C$40*(1-Girdiler!$C$20))*Girdiler!$C$24</f>
        <v/>
      </c>
      <c r="AN8" s="18">
        <f>IF('Zaman'!AN9&gt;0,1,0)*(Girdiler!$C$39+Girdiler!$C$40*(1-Girdiler!$C$20))*Girdiler!$C$24</f>
        <v/>
      </c>
      <c r="AO8" s="18">
        <f>IF('Zaman'!AO9&gt;0,1,0)*(Girdiler!$C$39+Girdiler!$C$40*(1-Girdiler!$C$20))*Girdiler!$C$24</f>
        <v/>
      </c>
      <c r="AP8" s="18">
        <f>IF('Zaman'!AP9&gt;0,1,0)*(Girdiler!$C$39+Girdiler!$C$40*(1-Girdiler!$C$20))*Girdiler!$C$24</f>
        <v/>
      </c>
      <c r="AQ8" s="18">
        <f>IF('Zaman'!AQ9&gt;0,1,0)*(Girdiler!$C$39+Girdiler!$C$40*(1-Girdiler!$C$20))*Girdiler!$C$24</f>
        <v/>
      </c>
      <c r="AR8" s="18">
        <f>IF('Zaman'!AR9&gt;0,1,0)*(Girdiler!$C$39+Girdiler!$C$40*(1-Girdiler!$C$20))*Girdiler!$C$24</f>
        <v/>
      </c>
    </row>
    <row r="9">
      <c r="A9" t="inlineStr">
        <is>
          <t>Batarya O&amp;M</t>
        </is>
      </c>
      <c r="B9" t="inlineStr">
        <is>
          <t>USD</t>
        </is>
      </c>
      <c r="C9" t="inlineStr"/>
      <c r="D9" s="18">
        <f>SUM(F9:AR9)</f>
        <v/>
      </c>
      <c r="E9" s="18" t="n">
        <v>0</v>
      </c>
      <c r="F9" s="18">
        <f>IF('Zaman'!F9&gt;0,1,0)*Girdiler!$C$41*Girdiler!$C$88</f>
        <v/>
      </c>
      <c r="G9" s="18">
        <f>IF('Zaman'!G9&gt;0,1,0)*Girdiler!$C$41*Girdiler!$C$88</f>
        <v/>
      </c>
      <c r="H9" s="18">
        <f>IF('Zaman'!H9&gt;0,1,0)*Girdiler!$C$41*Girdiler!$C$88</f>
        <v/>
      </c>
      <c r="I9" s="18">
        <f>IF('Zaman'!I9&gt;0,1,0)*Girdiler!$C$41*Girdiler!$C$88</f>
        <v/>
      </c>
      <c r="J9" s="18">
        <f>IF('Zaman'!J9&gt;0,1,0)*Girdiler!$C$41*Girdiler!$C$88</f>
        <v/>
      </c>
      <c r="K9" s="18">
        <f>IF('Zaman'!K9&gt;0,1,0)*Girdiler!$C$41*Girdiler!$C$88</f>
        <v/>
      </c>
      <c r="L9" s="18">
        <f>IF('Zaman'!L9&gt;0,1,0)*Girdiler!$C$41*Girdiler!$C$88</f>
        <v/>
      </c>
      <c r="M9" s="18">
        <f>IF('Zaman'!M9&gt;0,1,0)*Girdiler!$C$41*Girdiler!$C$88</f>
        <v/>
      </c>
      <c r="N9" s="18">
        <f>IF('Zaman'!N9&gt;0,1,0)*Girdiler!$C$41*Girdiler!$C$88</f>
        <v/>
      </c>
      <c r="O9" s="18">
        <f>IF('Zaman'!O9&gt;0,1,0)*Girdiler!$C$41*Girdiler!$C$88</f>
        <v/>
      </c>
      <c r="P9" s="18">
        <f>IF('Zaman'!P9&gt;0,1,0)*Girdiler!$C$41*Girdiler!$C$88</f>
        <v/>
      </c>
      <c r="Q9" s="18">
        <f>IF('Zaman'!Q9&gt;0,1,0)*Girdiler!$C$41*Girdiler!$C$88</f>
        <v/>
      </c>
      <c r="R9" s="18">
        <f>IF('Zaman'!R9&gt;0,1,0)*Girdiler!$C$41*Girdiler!$C$88</f>
        <v/>
      </c>
      <c r="S9" s="18">
        <f>IF('Zaman'!S9&gt;0,1,0)*Girdiler!$C$41*Girdiler!$C$88</f>
        <v/>
      </c>
      <c r="T9" s="18">
        <f>IF('Zaman'!T9&gt;0,1,0)*Girdiler!$C$41*Girdiler!$C$88</f>
        <v/>
      </c>
      <c r="U9" s="18">
        <f>IF('Zaman'!U9&gt;0,1,0)*Girdiler!$C$41*Girdiler!$C$88</f>
        <v/>
      </c>
      <c r="V9" s="18">
        <f>IF('Zaman'!V9&gt;0,1,0)*Girdiler!$C$41*Girdiler!$C$88</f>
        <v/>
      </c>
      <c r="W9" s="18">
        <f>IF('Zaman'!W9&gt;0,1,0)*Girdiler!$C$41*Girdiler!$C$88</f>
        <v/>
      </c>
      <c r="X9" s="18">
        <f>IF('Zaman'!X9&gt;0,1,0)*Girdiler!$C$41*Girdiler!$C$88</f>
        <v/>
      </c>
      <c r="Y9" s="18">
        <f>IF('Zaman'!Y9&gt;0,1,0)*Girdiler!$C$41*Girdiler!$C$88</f>
        <v/>
      </c>
      <c r="Z9" s="18">
        <f>IF('Zaman'!Z9&gt;0,1,0)*Girdiler!$C$41*Girdiler!$C$88</f>
        <v/>
      </c>
      <c r="AA9" s="18">
        <f>IF('Zaman'!AA9&gt;0,1,0)*Girdiler!$C$41*Girdiler!$C$88</f>
        <v/>
      </c>
      <c r="AB9" s="18">
        <f>IF('Zaman'!AB9&gt;0,1,0)*Girdiler!$C$41*Girdiler!$C$88</f>
        <v/>
      </c>
      <c r="AC9" s="18">
        <f>IF('Zaman'!AC9&gt;0,1,0)*Girdiler!$C$41*Girdiler!$C$88</f>
        <v/>
      </c>
      <c r="AD9" s="18">
        <f>IF('Zaman'!AD9&gt;0,1,0)*Girdiler!$C$41*Girdiler!$C$88</f>
        <v/>
      </c>
      <c r="AE9" s="18">
        <f>IF('Zaman'!AE9&gt;0,1,0)*Girdiler!$C$41*Girdiler!$C$88</f>
        <v/>
      </c>
      <c r="AF9" s="18">
        <f>IF('Zaman'!AF9&gt;0,1,0)*Girdiler!$C$41*Girdiler!$C$88</f>
        <v/>
      </c>
      <c r="AG9" s="18">
        <f>IF('Zaman'!AG9&gt;0,1,0)*Girdiler!$C$41*Girdiler!$C$88</f>
        <v/>
      </c>
      <c r="AH9" s="18">
        <f>IF('Zaman'!AH9&gt;0,1,0)*Girdiler!$C$41*Girdiler!$C$88</f>
        <v/>
      </c>
      <c r="AI9" s="18">
        <f>IF('Zaman'!AI9&gt;0,1,0)*Girdiler!$C$41*Girdiler!$C$88</f>
        <v/>
      </c>
      <c r="AJ9" s="18">
        <f>IF('Zaman'!AJ9&gt;0,1,0)*Girdiler!$C$41*Girdiler!$C$88</f>
        <v/>
      </c>
      <c r="AK9" s="18">
        <f>IF('Zaman'!AK9&gt;0,1,0)*Girdiler!$C$41*Girdiler!$C$88</f>
        <v/>
      </c>
      <c r="AL9" s="18">
        <f>IF('Zaman'!AL9&gt;0,1,0)*Girdiler!$C$41*Girdiler!$C$88</f>
        <v/>
      </c>
      <c r="AM9" s="18">
        <f>IF('Zaman'!AM9&gt;0,1,0)*Girdiler!$C$41*Girdiler!$C$88</f>
        <v/>
      </c>
      <c r="AN9" s="18">
        <f>IF('Zaman'!AN9&gt;0,1,0)*Girdiler!$C$41*Girdiler!$C$88</f>
        <v/>
      </c>
      <c r="AO9" s="18">
        <f>IF('Zaman'!AO9&gt;0,1,0)*Girdiler!$C$41*Girdiler!$C$88</f>
        <v/>
      </c>
      <c r="AP9" s="18">
        <f>IF('Zaman'!AP9&gt;0,1,0)*Girdiler!$C$41*Girdiler!$C$88</f>
        <v/>
      </c>
      <c r="AQ9" s="18">
        <f>IF('Zaman'!AQ9&gt;0,1,0)*Girdiler!$C$41*Girdiler!$C$88</f>
        <v/>
      </c>
      <c r="AR9" s="18">
        <f>IF('Zaman'!AR9&gt;0,1,0)*Girdiler!$C$41*Girdiler!$C$88</f>
        <v/>
      </c>
    </row>
    <row r="10">
      <c r="A10" t="inlineStr">
        <is>
          <t>Sigorta</t>
        </is>
      </c>
      <c r="B10" t="inlineStr">
        <is>
          <t>USD</t>
        </is>
      </c>
      <c r="C10" t="inlineStr"/>
      <c r="D10" s="18">
        <f>SUM(F10:AR10)</f>
        <v/>
      </c>
      <c r="E10" s="18" t="n">
        <v>0</v>
      </c>
      <c r="F10" s="18">
        <f>IF('Zaman'!F9&gt;0,1,0)*Girdiler!$C$42*(Girdiler!$C$90-Girdiler!$C$20*Girdiler!$C$87)</f>
        <v/>
      </c>
      <c r="G10" s="18">
        <f>IF('Zaman'!G9&gt;0,1,0)*Girdiler!$C$42*(Girdiler!$C$90-Girdiler!$C$20*Girdiler!$C$87)</f>
        <v/>
      </c>
      <c r="H10" s="18">
        <f>IF('Zaman'!H9&gt;0,1,0)*Girdiler!$C$42*(Girdiler!$C$90-Girdiler!$C$20*Girdiler!$C$87)</f>
        <v/>
      </c>
      <c r="I10" s="18">
        <f>IF('Zaman'!I9&gt;0,1,0)*Girdiler!$C$42*(Girdiler!$C$90-Girdiler!$C$20*Girdiler!$C$87)</f>
        <v/>
      </c>
      <c r="J10" s="18">
        <f>IF('Zaman'!J9&gt;0,1,0)*Girdiler!$C$42*(Girdiler!$C$90-Girdiler!$C$20*Girdiler!$C$87)</f>
        <v/>
      </c>
      <c r="K10" s="18">
        <f>IF('Zaman'!K9&gt;0,1,0)*Girdiler!$C$42*(Girdiler!$C$90-Girdiler!$C$20*Girdiler!$C$87)</f>
        <v/>
      </c>
      <c r="L10" s="18">
        <f>IF('Zaman'!L9&gt;0,1,0)*Girdiler!$C$42*(Girdiler!$C$90-Girdiler!$C$20*Girdiler!$C$87)</f>
        <v/>
      </c>
      <c r="M10" s="18">
        <f>IF('Zaman'!M9&gt;0,1,0)*Girdiler!$C$42*(Girdiler!$C$90-Girdiler!$C$20*Girdiler!$C$87)</f>
        <v/>
      </c>
      <c r="N10" s="18">
        <f>IF('Zaman'!N9&gt;0,1,0)*Girdiler!$C$42*(Girdiler!$C$90-Girdiler!$C$20*Girdiler!$C$87)</f>
        <v/>
      </c>
      <c r="O10" s="18">
        <f>IF('Zaman'!O9&gt;0,1,0)*Girdiler!$C$42*(Girdiler!$C$90-Girdiler!$C$20*Girdiler!$C$87)</f>
        <v/>
      </c>
      <c r="P10" s="18">
        <f>IF('Zaman'!P9&gt;0,1,0)*Girdiler!$C$42*(Girdiler!$C$90-Girdiler!$C$20*Girdiler!$C$87)</f>
        <v/>
      </c>
      <c r="Q10" s="18">
        <f>IF('Zaman'!Q9&gt;0,1,0)*Girdiler!$C$42*(Girdiler!$C$90-Girdiler!$C$20*Girdiler!$C$87)</f>
        <v/>
      </c>
      <c r="R10" s="18">
        <f>IF('Zaman'!R9&gt;0,1,0)*Girdiler!$C$42*(Girdiler!$C$90-Girdiler!$C$20*Girdiler!$C$87)</f>
        <v/>
      </c>
      <c r="S10" s="18">
        <f>IF('Zaman'!S9&gt;0,1,0)*Girdiler!$C$42*(Girdiler!$C$90-Girdiler!$C$20*Girdiler!$C$87)</f>
        <v/>
      </c>
      <c r="T10" s="18">
        <f>IF('Zaman'!T9&gt;0,1,0)*Girdiler!$C$42*(Girdiler!$C$90-Girdiler!$C$20*Girdiler!$C$87)</f>
        <v/>
      </c>
      <c r="U10" s="18">
        <f>IF('Zaman'!U9&gt;0,1,0)*Girdiler!$C$42*(Girdiler!$C$90-Girdiler!$C$20*Girdiler!$C$87)</f>
        <v/>
      </c>
      <c r="V10" s="18">
        <f>IF('Zaman'!V9&gt;0,1,0)*Girdiler!$C$42*(Girdiler!$C$90-Girdiler!$C$20*Girdiler!$C$87)</f>
        <v/>
      </c>
      <c r="W10" s="18">
        <f>IF('Zaman'!W9&gt;0,1,0)*Girdiler!$C$42*(Girdiler!$C$90-Girdiler!$C$20*Girdiler!$C$87)</f>
        <v/>
      </c>
      <c r="X10" s="18">
        <f>IF('Zaman'!X9&gt;0,1,0)*Girdiler!$C$42*(Girdiler!$C$90-Girdiler!$C$20*Girdiler!$C$87)</f>
        <v/>
      </c>
      <c r="Y10" s="18">
        <f>IF('Zaman'!Y9&gt;0,1,0)*Girdiler!$C$42*(Girdiler!$C$90-Girdiler!$C$20*Girdiler!$C$87)</f>
        <v/>
      </c>
      <c r="Z10" s="18">
        <f>IF('Zaman'!Z9&gt;0,1,0)*Girdiler!$C$42*(Girdiler!$C$90-Girdiler!$C$20*Girdiler!$C$87)</f>
        <v/>
      </c>
      <c r="AA10" s="18">
        <f>IF('Zaman'!AA9&gt;0,1,0)*Girdiler!$C$42*(Girdiler!$C$90-Girdiler!$C$20*Girdiler!$C$87)</f>
        <v/>
      </c>
      <c r="AB10" s="18">
        <f>IF('Zaman'!AB9&gt;0,1,0)*Girdiler!$C$42*(Girdiler!$C$90-Girdiler!$C$20*Girdiler!$C$87)</f>
        <v/>
      </c>
      <c r="AC10" s="18">
        <f>IF('Zaman'!AC9&gt;0,1,0)*Girdiler!$C$42*(Girdiler!$C$90-Girdiler!$C$20*Girdiler!$C$87)</f>
        <v/>
      </c>
      <c r="AD10" s="18">
        <f>IF('Zaman'!AD9&gt;0,1,0)*Girdiler!$C$42*(Girdiler!$C$90-Girdiler!$C$20*Girdiler!$C$87)</f>
        <v/>
      </c>
      <c r="AE10" s="18">
        <f>IF('Zaman'!AE9&gt;0,1,0)*Girdiler!$C$42*(Girdiler!$C$90-Girdiler!$C$20*Girdiler!$C$87)</f>
        <v/>
      </c>
      <c r="AF10" s="18">
        <f>IF('Zaman'!AF9&gt;0,1,0)*Girdiler!$C$42*(Girdiler!$C$90-Girdiler!$C$20*Girdiler!$C$87)</f>
        <v/>
      </c>
      <c r="AG10" s="18">
        <f>IF('Zaman'!AG9&gt;0,1,0)*Girdiler!$C$42*(Girdiler!$C$90-Girdiler!$C$20*Girdiler!$C$87)</f>
        <v/>
      </c>
      <c r="AH10" s="18">
        <f>IF('Zaman'!AH9&gt;0,1,0)*Girdiler!$C$42*(Girdiler!$C$90-Girdiler!$C$20*Girdiler!$C$87)</f>
        <v/>
      </c>
      <c r="AI10" s="18">
        <f>IF('Zaman'!AI9&gt;0,1,0)*Girdiler!$C$42*(Girdiler!$C$90-Girdiler!$C$20*Girdiler!$C$87)</f>
        <v/>
      </c>
      <c r="AJ10" s="18">
        <f>IF('Zaman'!AJ9&gt;0,1,0)*Girdiler!$C$42*(Girdiler!$C$90-Girdiler!$C$20*Girdiler!$C$87)</f>
        <v/>
      </c>
      <c r="AK10" s="18">
        <f>IF('Zaman'!AK9&gt;0,1,0)*Girdiler!$C$42*(Girdiler!$C$90-Girdiler!$C$20*Girdiler!$C$87)</f>
        <v/>
      </c>
      <c r="AL10" s="18">
        <f>IF('Zaman'!AL9&gt;0,1,0)*Girdiler!$C$42*(Girdiler!$C$90-Girdiler!$C$20*Girdiler!$C$87)</f>
        <v/>
      </c>
      <c r="AM10" s="18">
        <f>IF('Zaman'!AM9&gt;0,1,0)*Girdiler!$C$42*(Girdiler!$C$90-Girdiler!$C$20*Girdiler!$C$87)</f>
        <v/>
      </c>
      <c r="AN10" s="18">
        <f>IF('Zaman'!AN9&gt;0,1,0)*Girdiler!$C$42*(Girdiler!$C$90-Girdiler!$C$20*Girdiler!$C$87)</f>
        <v/>
      </c>
      <c r="AO10" s="18">
        <f>IF('Zaman'!AO9&gt;0,1,0)*Girdiler!$C$42*(Girdiler!$C$90-Girdiler!$C$20*Girdiler!$C$87)</f>
        <v/>
      </c>
      <c r="AP10" s="18">
        <f>IF('Zaman'!AP9&gt;0,1,0)*Girdiler!$C$42*(Girdiler!$C$90-Girdiler!$C$20*Girdiler!$C$87)</f>
        <v/>
      </c>
      <c r="AQ10" s="18">
        <f>IF('Zaman'!AQ9&gt;0,1,0)*Girdiler!$C$42*(Girdiler!$C$90-Girdiler!$C$20*Girdiler!$C$87)</f>
        <v/>
      </c>
      <c r="AR10" s="18">
        <f>IF('Zaman'!AR9&gt;0,1,0)*Girdiler!$C$42*(Girdiler!$C$90-Girdiler!$C$20*Girdiler!$C$87)</f>
        <v/>
      </c>
    </row>
    <row r="11">
      <c r="A11" t="inlineStr">
        <is>
          <t>TEİAŞ bedelleri</t>
        </is>
      </c>
      <c r="B11" t="inlineStr">
        <is>
          <t>USD</t>
        </is>
      </c>
      <c r="C11" t="inlineStr"/>
      <c r="D11" s="18">
        <f>SUM(F11:AR11)</f>
        <v/>
      </c>
      <c r="E11" s="18" t="n">
        <v>0</v>
      </c>
      <c r="F11" s="18">
        <f>IF('Zaman'!F9&gt;0,1,0)*Girdiler!$C$43*Girdiler!$C$27+Girdiler!$C$44*'Uretim'!F20</f>
        <v/>
      </c>
      <c r="G11" s="18">
        <f>IF('Zaman'!G9&gt;0,1,0)*Girdiler!$C$43*Girdiler!$C$27+Girdiler!$C$44*'Uretim'!G20</f>
        <v/>
      </c>
      <c r="H11" s="18">
        <f>IF('Zaman'!H9&gt;0,1,0)*Girdiler!$C$43*Girdiler!$C$27+Girdiler!$C$44*'Uretim'!H20</f>
        <v/>
      </c>
      <c r="I11" s="18">
        <f>IF('Zaman'!I9&gt;0,1,0)*Girdiler!$C$43*Girdiler!$C$27+Girdiler!$C$44*'Uretim'!I20</f>
        <v/>
      </c>
      <c r="J11" s="18">
        <f>IF('Zaman'!J9&gt;0,1,0)*Girdiler!$C$43*Girdiler!$C$27+Girdiler!$C$44*'Uretim'!J20</f>
        <v/>
      </c>
      <c r="K11" s="18">
        <f>IF('Zaman'!K9&gt;0,1,0)*Girdiler!$C$43*Girdiler!$C$27+Girdiler!$C$44*'Uretim'!K20</f>
        <v/>
      </c>
      <c r="L11" s="18">
        <f>IF('Zaman'!L9&gt;0,1,0)*Girdiler!$C$43*Girdiler!$C$27+Girdiler!$C$44*'Uretim'!L20</f>
        <v/>
      </c>
      <c r="M11" s="18">
        <f>IF('Zaman'!M9&gt;0,1,0)*Girdiler!$C$43*Girdiler!$C$27+Girdiler!$C$44*'Uretim'!M20</f>
        <v/>
      </c>
      <c r="N11" s="18">
        <f>IF('Zaman'!N9&gt;0,1,0)*Girdiler!$C$43*Girdiler!$C$27+Girdiler!$C$44*'Uretim'!N20</f>
        <v/>
      </c>
      <c r="O11" s="18">
        <f>IF('Zaman'!O9&gt;0,1,0)*Girdiler!$C$43*Girdiler!$C$27+Girdiler!$C$44*'Uretim'!O20</f>
        <v/>
      </c>
      <c r="P11" s="18">
        <f>IF('Zaman'!P9&gt;0,1,0)*Girdiler!$C$43*Girdiler!$C$27+Girdiler!$C$44*'Uretim'!P20</f>
        <v/>
      </c>
      <c r="Q11" s="18">
        <f>IF('Zaman'!Q9&gt;0,1,0)*Girdiler!$C$43*Girdiler!$C$27+Girdiler!$C$44*'Uretim'!Q20</f>
        <v/>
      </c>
      <c r="R11" s="18">
        <f>IF('Zaman'!R9&gt;0,1,0)*Girdiler!$C$43*Girdiler!$C$27+Girdiler!$C$44*'Uretim'!R20</f>
        <v/>
      </c>
      <c r="S11" s="18">
        <f>IF('Zaman'!S9&gt;0,1,0)*Girdiler!$C$43*Girdiler!$C$27+Girdiler!$C$44*'Uretim'!S20</f>
        <v/>
      </c>
      <c r="T11" s="18">
        <f>IF('Zaman'!T9&gt;0,1,0)*Girdiler!$C$43*Girdiler!$C$27+Girdiler!$C$44*'Uretim'!T20</f>
        <v/>
      </c>
      <c r="U11" s="18">
        <f>IF('Zaman'!U9&gt;0,1,0)*Girdiler!$C$43*Girdiler!$C$27+Girdiler!$C$44*'Uretim'!U20</f>
        <v/>
      </c>
      <c r="V11" s="18">
        <f>IF('Zaman'!V9&gt;0,1,0)*Girdiler!$C$43*Girdiler!$C$27+Girdiler!$C$44*'Uretim'!V20</f>
        <v/>
      </c>
      <c r="W11" s="18">
        <f>IF('Zaman'!W9&gt;0,1,0)*Girdiler!$C$43*Girdiler!$C$27+Girdiler!$C$44*'Uretim'!W20</f>
        <v/>
      </c>
      <c r="X11" s="18">
        <f>IF('Zaman'!X9&gt;0,1,0)*Girdiler!$C$43*Girdiler!$C$27+Girdiler!$C$44*'Uretim'!X20</f>
        <v/>
      </c>
      <c r="Y11" s="18">
        <f>IF('Zaman'!Y9&gt;0,1,0)*Girdiler!$C$43*Girdiler!$C$27+Girdiler!$C$44*'Uretim'!Y20</f>
        <v/>
      </c>
      <c r="Z11" s="18">
        <f>IF('Zaman'!Z9&gt;0,1,0)*Girdiler!$C$43*Girdiler!$C$27+Girdiler!$C$44*'Uretim'!Z20</f>
        <v/>
      </c>
      <c r="AA11" s="18">
        <f>IF('Zaman'!AA9&gt;0,1,0)*Girdiler!$C$43*Girdiler!$C$27+Girdiler!$C$44*'Uretim'!AA20</f>
        <v/>
      </c>
      <c r="AB11" s="18">
        <f>IF('Zaman'!AB9&gt;0,1,0)*Girdiler!$C$43*Girdiler!$C$27+Girdiler!$C$44*'Uretim'!AB20</f>
        <v/>
      </c>
      <c r="AC11" s="18">
        <f>IF('Zaman'!AC9&gt;0,1,0)*Girdiler!$C$43*Girdiler!$C$27+Girdiler!$C$44*'Uretim'!AC20</f>
        <v/>
      </c>
      <c r="AD11" s="18">
        <f>IF('Zaman'!AD9&gt;0,1,0)*Girdiler!$C$43*Girdiler!$C$27+Girdiler!$C$44*'Uretim'!AD20</f>
        <v/>
      </c>
      <c r="AE11" s="18">
        <f>IF('Zaman'!AE9&gt;0,1,0)*Girdiler!$C$43*Girdiler!$C$27+Girdiler!$C$44*'Uretim'!AE20</f>
        <v/>
      </c>
      <c r="AF11" s="18">
        <f>IF('Zaman'!AF9&gt;0,1,0)*Girdiler!$C$43*Girdiler!$C$27+Girdiler!$C$44*'Uretim'!AF20</f>
        <v/>
      </c>
      <c r="AG11" s="18">
        <f>IF('Zaman'!AG9&gt;0,1,0)*Girdiler!$C$43*Girdiler!$C$27+Girdiler!$C$44*'Uretim'!AG20</f>
        <v/>
      </c>
      <c r="AH11" s="18">
        <f>IF('Zaman'!AH9&gt;0,1,0)*Girdiler!$C$43*Girdiler!$C$27+Girdiler!$C$44*'Uretim'!AH20</f>
        <v/>
      </c>
      <c r="AI11" s="18">
        <f>IF('Zaman'!AI9&gt;0,1,0)*Girdiler!$C$43*Girdiler!$C$27+Girdiler!$C$44*'Uretim'!AI20</f>
        <v/>
      </c>
      <c r="AJ11" s="18">
        <f>IF('Zaman'!AJ9&gt;0,1,0)*Girdiler!$C$43*Girdiler!$C$27+Girdiler!$C$44*'Uretim'!AJ20</f>
        <v/>
      </c>
      <c r="AK11" s="18">
        <f>IF('Zaman'!AK9&gt;0,1,0)*Girdiler!$C$43*Girdiler!$C$27+Girdiler!$C$44*'Uretim'!AK20</f>
        <v/>
      </c>
      <c r="AL11" s="18">
        <f>IF('Zaman'!AL9&gt;0,1,0)*Girdiler!$C$43*Girdiler!$C$27+Girdiler!$C$44*'Uretim'!AL20</f>
        <v/>
      </c>
      <c r="AM11" s="18">
        <f>IF('Zaman'!AM9&gt;0,1,0)*Girdiler!$C$43*Girdiler!$C$27+Girdiler!$C$44*'Uretim'!AM20</f>
        <v/>
      </c>
      <c r="AN11" s="18">
        <f>IF('Zaman'!AN9&gt;0,1,0)*Girdiler!$C$43*Girdiler!$C$27+Girdiler!$C$44*'Uretim'!AN20</f>
        <v/>
      </c>
      <c r="AO11" s="18">
        <f>IF('Zaman'!AO9&gt;0,1,0)*Girdiler!$C$43*Girdiler!$C$27+Girdiler!$C$44*'Uretim'!AO20</f>
        <v/>
      </c>
      <c r="AP11" s="18">
        <f>IF('Zaman'!AP9&gt;0,1,0)*Girdiler!$C$43*Girdiler!$C$27+Girdiler!$C$44*'Uretim'!AP20</f>
        <v/>
      </c>
      <c r="AQ11" s="18">
        <f>IF('Zaman'!AQ9&gt;0,1,0)*Girdiler!$C$43*Girdiler!$C$27+Girdiler!$C$44*'Uretim'!AQ20</f>
        <v/>
      </c>
      <c r="AR11" s="18">
        <f>IF('Zaman'!AR9&gt;0,1,0)*Girdiler!$C$43*Girdiler!$C$27+Girdiler!$C$44*'Uretim'!AR20</f>
        <v/>
      </c>
    </row>
    <row r="12">
      <c r="A12" t="inlineStr">
        <is>
          <t>Batarya yıpranması</t>
        </is>
      </c>
      <c r="B12" t="inlineStr">
        <is>
          <t>USD</t>
        </is>
      </c>
      <c r="C12" t="inlineStr"/>
      <c r="D12" s="18">
        <f>SUM(F12:AR12)</f>
        <v/>
      </c>
      <c r="E12" s="18" t="n">
        <v>0</v>
      </c>
      <c r="F12" s="18">
        <f>Girdiler!$C$45*'Uretim'!F11</f>
        <v/>
      </c>
      <c r="G12" s="18">
        <f>Girdiler!$C$45*'Uretim'!G11</f>
        <v/>
      </c>
      <c r="H12" s="18">
        <f>Girdiler!$C$45*'Uretim'!H11</f>
        <v/>
      </c>
      <c r="I12" s="18">
        <f>Girdiler!$C$45*'Uretim'!I11</f>
        <v/>
      </c>
      <c r="J12" s="18">
        <f>Girdiler!$C$45*'Uretim'!J11</f>
        <v/>
      </c>
      <c r="K12" s="18">
        <f>Girdiler!$C$45*'Uretim'!K11</f>
        <v/>
      </c>
      <c r="L12" s="18">
        <f>Girdiler!$C$45*'Uretim'!L11</f>
        <v/>
      </c>
      <c r="M12" s="18">
        <f>Girdiler!$C$45*'Uretim'!M11</f>
        <v/>
      </c>
      <c r="N12" s="18">
        <f>Girdiler!$C$45*'Uretim'!N11</f>
        <v/>
      </c>
      <c r="O12" s="18">
        <f>Girdiler!$C$45*'Uretim'!O11</f>
        <v/>
      </c>
      <c r="P12" s="18">
        <f>Girdiler!$C$45*'Uretim'!P11</f>
        <v/>
      </c>
      <c r="Q12" s="18">
        <f>Girdiler!$C$45*'Uretim'!Q11</f>
        <v/>
      </c>
      <c r="R12" s="18">
        <f>Girdiler!$C$45*'Uretim'!R11</f>
        <v/>
      </c>
      <c r="S12" s="18">
        <f>Girdiler!$C$45*'Uretim'!S11</f>
        <v/>
      </c>
      <c r="T12" s="18">
        <f>Girdiler!$C$45*'Uretim'!T11</f>
        <v/>
      </c>
      <c r="U12" s="18">
        <f>Girdiler!$C$45*'Uretim'!U11</f>
        <v/>
      </c>
      <c r="V12" s="18">
        <f>Girdiler!$C$45*'Uretim'!V11</f>
        <v/>
      </c>
      <c r="W12" s="18">
        <f>Girdiler!$C$45*'Uretim'!W11</f>
        <v/>
      </c>
      <c r="X12" s="18">
        <f>Girdiler!$C$45*'Uretim'!X11</f>
        <v/>
      </c>
      <c r="Y12" s="18">
        <f>Girdiler!$C$45*'Uretim'!Y11</f>
        <v/>
      </c>
      <c r="Z12" s="18">
        <f>Girdiler!$C$45*'Uretim'!Z11</f>
        <v/>
      </c>
      <c r="AA12" s="18">
        <f>Girdiler!$C$45*'Uretim'!AA11</f>
        <v/>
      </c>
      <c r="AB12" s="18">
        <f>Girdiler!$C$45*'Uretim'!AB11</f>
        <v/>
      </c>
      <c r="AC12" s="18">
        <f>Girdiler!$C$45*'Uretim'!AC11</f>
        <v/>
      </c>
      <c r="AD12" s="18">
        <f>Girdiler!$C$45*'Uretim'!AD11</f>
        <v/>
      </c>
      <c r="AE12" s="18">
        <f>Girdiler!$C$45*'Uretim'!AE11</f>
        <v/>
      </c>
      <c r="AF12" s="18">
        <f>Girdiler!$C$45*'Uretim'!AF11</f>
        <v/>
      </c>
      <c r="AG12" s="18">
        <f>Girdiler!$C$45*'Uretim'!AG11</f>
        <v/>
      </c>
      <c r="AH12" s="18">
        <f>Girdiler!$C$45*'Uretim'!AH11</f>
        <v/>
      </c>
      <c r="AI12" s="18">
        <f>Girdiler!$C$45*'Uretim'!AI11</f>
        <v/>
      </c>
      <c r="AJ12" s="18">
        <f>Girdiler!$C$45*'Uretim'!AJ11</f>
        <v/>
      </c>
      <c r="AK12" s="18">
        <f>Girdiler!$C$45*'Uretim'!AK11</f>
        <v/>
      </c>
      <c r="AL12" s="18">
        <f>Girdiler!$C$45*'Uretim'!AL11</f>
        <v/>
      </c>
      <c r="AM12" s="18">
        <f>Girdiler!$C$45*'Uretim'!AM11</f>
        <v/>
      </c>
      <c r="AN12" s="18">
        <f>Girdiler!$C$45*'Uretim'!AN11</f>
        <v/>
      </c>
      <c r="AO12" s="18">
        <f>Girdiler!$C$45*'Uretim'!AO11</f>
        <v/>
      </c>
      <c r="AP12" s="18">
        <f>Girdiler!$C$45*'Uretim'!AP11</f>
        <v/>
      </c>
      <c r="AQ12" s="18">
        <f>Girdiler!$C$45*'Uretim'!AQ11</f>
        <v/>
      </c>
      <c r="AR12" s="18">
        <f>Girdiler!$C$45*'Uretim'!AR11</f>
        <v/>
      </c>
    </row>
    <row r="13">
      <c r="A13" t="inlineStr">
        <is>
          <t>Toplam OPEX</t>
        </is>
      </c>
      <c r="B13" t="inlineStr">
        <is>
          <t>USD</t>
        </is>
      </c>
      <c r="C13" t="inlineStr"/>
      <c r="D13" s="18">
        <f>SUM(F13:AR13)</f>
        <v/>
      </c>
      <c r="E13" s="18" t="n">
        <v>0</v>
      </c>
      <c r="F13" s="18">
        <f>'OPEX'!F8+'OPEX'!F9+'OPEX'!F10+'OPEX'!F11+'OPEX'!F12</f>
        <v/>
      </c>
      <c r="G13" s="18">
        <f>'OPEX'!G8+'OPEX'!G9+'OPEX'!G10+'OPEX'!G11+'OPEX'!G12</f>
        <v/>
      </c>
      <c r="H13" s="18">
        <f>'OPEX'!H8+'OPEX'!H9+'OPEX'!H10+'OPEX'!H11+'OPEX'!H12</f>
        <v/>
      </c>
      <c r="I13" s="18">
        <f>'OPEX'!I8+'OPEX'!I9+'OPEX'!I10+'OPEX'!I11+'OPEX'!I12</f>
        <v/>
      </c>
      <c r="J13" s="18">
        <f>'OPEX'!J8+'OPEX'!J9+'OPEX'!J10+'OPEX'!J11+'OPEX'!J12</f>
        <v/>
      </c>
      <c r="K13" s="18">
        <f>'OPEX'!K8+'OPEX'!K9+'OPEX'!K10+'OPEX'!K11+'OPEX'!K12</f>
        <v/>
      </c>
      <c r="L13" s="18">
        <f>'OPEX'!L8+'OPEX'!L9+'OPEX'!L10+'OPEX'!L11+'OPEX'!L12</f>
        <v/>
      </c>
      <c r="M13" s="18">
        <f>'OPEX'!M8+'OPEX'!M9+'OPEX'!M10+'OPEX'!M11+'OPEX'!M12</f>
        <v/>
      </c>
      <c r="N13" s="18">
        <f>'OPEX'!N8+'OPEX'!N9+'OPEX'!N10+'OPEX'!N11+'OPEX'!N12</f>
        <v/>
      </c>
      <c r="O13" s="18">
        <f>'OPEX'!O8+'OPEX'!O9+'OPEX'!O10+'OPEX'!O11+'OPEX'!O12</f>
        <v/>
      </c>
      <c r="P13" s="18">
        <f>'OPEX'!P8+'OPEX'!P9+'OPEX'!P10+'OPEX'!P11+'OPEX'!P12</f>
        <v/>
      </c>
      <c r="Q13" s="18">
        <f>'OPEX'!Q8+'OPEX'!Q9+'OPEX'!Q10+'OPEX'!Q11+'OPEX'!Q12</f>
        <v/>
      </c>
      <c r="R13" s="18">
        <f>'OPEX'!R8+'OPEX'!R9+'OPEX'!R10+'OPEX'!R11+'OPEX'!R12</f>
        <v/>
      </c>
      <c r="S13" s="18">
        <f>'OPEX'!S8+'OPEX'!S9+'OPEX'!S10+'OPEX'!S11+'OPEX'!S12</f>
        <v/>
      </c>
      <c r="T13" s="18">
        <f>'OPEX'!T8+'OPEX'!T9+'OPEX'!T10+'OPEX'!T11+'OPEX'!T12</f>
        <v/>
      </c>
      <c r="U13" s="18">
        <f>'OPEX'!U8+'OPEX'!U9+'OPEX'!U10+'OPEX'!U11+'OPEX'!U12</f>
        <v/>
      </c>
      <c r="V13" s="18">
        <f>'OPEX'!V8+'OPEX'!V9+'OPEX'!V10+'OPEX'!V11+'OPEX'!V12</f>
        <v/>
      </c>
      <c r="W13" s="18">
        <f>'OPEX'!W8+'OPEX'!W9+'OPEX'!W10+'OPEX'!W11+'OPEX'!W12</f>
        <v/>
      </c>
      <c r="X13" s="18">
        <f>'OPEX'!X8+'OPEX'!X9+'OPEX'!X10+'OPEX'!X11+'OPEX'!X12</f>
        <v/>
      </c>
      <c r="Y13" s="18">
        <f>'OPEX'!Y8+'OPEX'!Y9+'OPEX'!Y10+'OPEX'!Y11+'OPEX'!Y12</f>
        <v/>
      </c>
      <c r="Z13" s="18">
        <f>'OPEX'!Z8+'OPEX'!Z9+'OPEX'!Z10+'OPEX'!Z11+'OPEX'!Z12</f>
        <v/>
      </c>
      <c r="AA13" s="18">
        <f>'OPEX'!AA8+'OPEX'!AA9+'OPEX'!AA10+'OPEX'!AA11+'OPEX'!AA12</f>
        <v/>
      </c>
      <c r="AB13" s="18">
        <f>'OPEX'!AB8+'OPEX'!AB9+'OPEX'!AB10+'OPEX'!AB11+'OPEX'!AB12</f>
        <v/>
      </c>
      <c r="AC13" s="18">
        <f>'OPEX'!AC8+'OPEX'!AC9+'OPEX'!AC10+'OPEX'!AC11+'OPEX'!AC12</f>
        <v/>
      </c>
      <c r="AD13" s="18">
        <f>'OPEX'!AD8+'OPEX'!AD9+'OPEX'!AD10+'OPEX'!AD11+'OPEX'!AD12</f>
        <v/>
      </c>
      <c r="AE13" s="18">
        <f>'OPEX'!AE8+'OPEX'!AE9+'OPEX'!AE10+'OPEX'!AE11+'OPEX'!AE12</f>
        <v/>
      </c>
      <c r="AF13" s="18">
        <f>'OPEX'!AF8+'OPEX'!AF9+'OPEX'!AF10+'OPEX'!AF11+'OPEX'!AF12</f>
        <v/>
      </c>
      <c r="AG13" s="18">
        <f>'OPEX'!AG8+'OPEX'!AG9+'OPEX'!AG10+'OPEX'!AG11+'OPEX'!AG12</f>
        <v/>
      </c>
      <c r="AH13" s="18">
        <f>'OPEX'!AH8+'OPEX'!AH9+'OPEX'!AH10+'OPEX'!AH11+'OPEX'!AH12</f>
        <v/>
      </c>
      <c r="AI13" s="18">
        <f>'OPEX'!AI8+'OPEX'!AI9+'OPEX'!AI10+'OPEX'!AI11+'OPEX'!AI12</f>
        <v/>
      </c>
      <c r="AJ13" s="18">
        <f>'OPEX'!AJ8+'OPEX'!AJ9+'OPEX'!AJ10+'OPEX'!AJ11+'OPEX'!AJ12</f>
        <v/>
      </c>
      <c r="AK13" s="18">
        <f>'OPEX'!AK8+'OPEX'!AK9+'OPEX'!AK10+'OPEX'!AK11+'OPEX'!AK12</f>
        <v/>
      </c>
      <c r="AL13" s="18">
        <f>'OPEX'!AL8+'OPEX'!AL9+'OPEX'!AL10+'OPEX'!AL11+'OPEX'!AL12</f>
        <v/>
      </c>
      <c r="AM13" s="18">
        <f>'OPEX'!AM8+'OPEX'!AM9+'OPEX'!AM10+'OPEX'!AM11+'OPEX'!AM12</f>
        <v/>
      </c>
      <c r="AN13" s="18">
        <f>'OPEX'!AN8+'OPEX'!AN9+'OPEX'!AN10+'OPEX'!AN11+'OPEX'!AN12</f>
        <v/>
      </c>
      <c r="AO13" s="18">
        <f>'OPEX'!AO8+'OPEX'!AO9+'OPEX'!AO10+'OPEX'!AO11+'OPEX'!AO12</f>
        <v/>
      </c>
      <c r="AP13" s="18">
        <f>'OPEX'!AP8+'OPEX'!AP9+'OPEX'!AP10+'OPEX'!AP11+'OPEX'!AP12</f>
        <v/>
      </c>
      <c r="AQ13" s="18">
        <f>'OPEX'!AQ8+'OPEX'!AQ9+'OPEX'!AQ10+'OPEX'!AQ11+'OPEX'!AQ12</f>
        <v/>
      </c>
      <c r="AR13" s="18">
        <f>'OPEX'!AR8+'OPEX'!AR9+'OPEX'!AR10+'OPEX'!AR11+'OPEX'!AR12</f>
        <v/>
      </c>
    </row>
    <row r="14">
      <c r="A14" t="inlineStr">
        <is>
          <t>FAVÖK</t>
        </is>
      </c>
      <c r="B14" t="inlineStr">
        <is>
          <t>USD</t>
        </is>
      </c>
      <c r="C14" t="inlineStr"/>
      <c r="D14" s="18">
        <f>SUM(F14:AR14)</f>
        <v/>
      </c>
      <c r="E14" s="18" t="n">
        <v>0</v>
      </c>
      <c r="F14" s="18">
        <f>'Gelir'!F15-'Gelir'!F14-'Gelir'!F13-'OPEX'!F13</f>
        <v/>
      </c>
      <c r="G14" s="18">
        <f>'Gelir'!G15-'Gelir'!G14-'Gelir'!G13-'OPEX'!G13</f>
        <v/>
      </c>
      <c r="H14" s="18">
        <f>'Gelir'!H15-'Gelir'!H14-'Gelir'!H13-'OPEX'!H13</f>
        <v/>
      </c>
      <c r="I14" s="18">
        <f>'Gelir'!I15-'Gelir'!I14-'Gelir'!I13-'OPEX'!I13</f>
        <v/>
      </c>
      <c r="J14" s="18">
        <f>'Gelir'!J15-'Gelir'!J14-'Gelir'!J13-'OPEX'!J13</f>
        <v/>
      </c>
      <c r="K14" s="18">
        <f>'Gelir'!K15-'Gelir'!K14-'Gelir'!K13-'OPEX'!K13</f>
        <v/>
      </c>
      <c r="L14" s="18">
        <f>'Gelir'!L15-'Gelir'!L14-'Gelir'!L13-'OPEX'!L13</f>
        <v/>
      </c>
      <c r="M14" s="18">
        <f>'Gelir'!M15-'Gelir'!M14-'Gelir'!M13-'OPEX'!M13</f>
        <v/>
      </c>
      <c r="N14" s="18">
        <f>'Gelir'!N15-'Gelir'!N14-'Gelir'!N13-'OPEX'!N13</f>
        <v/>
      </c>
      <c r="O14" s="18">
        <f>'Gelir'!O15-'Gelir'!O14-'Gelir'!O13-'OPEX'!O13</f>
        <v/>
      </c>
      <c r="P14" s="18">
        <f>'Gelir'!P15-'Gelir'!P14-'Gelir'!P13-'OPEX'!P13</f>
        <v/>
      </c>
      <c r="Q14" s="18">
        <f>'Gelir'!Q15-'Gelir'!Q14-'Gelir'!Q13-'OPEX'!Q13</f>
        <v/>
      </c>
      <c r="R14" s="18">
        <f>'Gelir'!R15-'Gelir'!R14-'Gelir'!R13-'OPEX'!R13</f>
        <v/>
      </c>
      <c r="S14" s="18">
        <f>'Gelir'!S15-'Gelir'!S14-'Gelir'!S13-'OPEX'!S13</f>
        <v/>
      </c>
      <c r="T14" s="18">
        <f>'Gelir'!T15-'Gelir'!T14-'Gelir'!T13-'OPEX'!T13</f>
        <v/>
      </c>
      <c r="U14" s="18">
        <f>'Gelir'!U15-'Gelir'!U14-'Gelir'!U13-'OPEX'!U13</f>
        <v/>
      </c>
      <c r="V14" s="18">
        <f>'Gelir'!V15-'Gelir'!V14-'Gelir'!V13-'OPEX'!V13</f>
        <v/>
      </c>
      <c r="W14" s="18">
        <f>'Gelir'!W15-'Gelir'!W14-'Gelir'!W13-'OPEX'!W13</f>
        <v/>
      </c>
      <c r="X14" s="18">
        <f>'Gelir'!X15-'Gelir'!X14-'Gelir'!X13-'OPEX'!X13</f>
        <v/>
      </c>
      <c r="Y14" s="18">
        <f>'Gelir'!Y15-'Gelir'!Y14-'Gelir'!Y13-'OPEX'!Y13</f>
        <v/>
      </c>
      <c r="Z14" s="18">
        <f>'Gelir'!Z15-'Gelir'!Z14-'Gelir'!Z13-'OPEX'!Z13</f>
        <v/>
      </c>
      <c r="AA14" s="18">
        <f>'Gelir'!AA15-'Gelir'!AA14-'Gelir'!AA13-'OPEX'!AA13</f>
        <v/>
      </c>
      <c r="AB14" s="18">
        <f>'Gelir'!AB15-'Gelir'!AB14-'Gelir'!AB13-'OPEX'!AB13</f>
        <v/>
      </c>
      <c r="AC14" s="18">
        <f>'Gelir'!AC15-'Gelir'!AC14-'Gelir'!AC13-'OPEX'!AC13</f>
        <v/>
      </c>
      <c r="AD14" s="18">
        <f>'Gelir'!AD15-'Gelir'!AD14-'Gelir'!AD13-'OPEX'!AD13</f>
        <v/>
      </c>
      <c r="AE14" s="18">
        <f>'Gelir'!AE15-'Gelir'!AE14-'Gelir'!AE13-'OPEX'!AE13</f>
        <v/>
      </c>
      <c r="AF14" s="18">
        <f>'Gelir'!AF15-'Gelir'!AF14-'Gelir'!AF13-'OPEX'!AF13</f>
        <v/>
      </c>
      <c r="AG14" s="18">
        <f>'Gelir'!AG15-'Gelir'!AG14-'Gelir'!AG13-'OPEX'!AG13</f>
        <v/>
      </c>
      <c r="AH14" s="18">
        <f>'Gelir'!AH15-'Gelir'!AH14-'Gelir'!AH13-'OPEX'!AH13</f>
        <v/>
      </c>
      <c r="AI14" s="18">
        <f>'Gelir'!AI15-'Gelir'!AI14-'Gelir'!AI13-'OPEX'!AI13</f>
        <v/>
      </c>
      <c r="AJ14" s="18">
        <f>'Gelir'!AJ15-'Gelir'!AJ14-'Gelir'!AJ13-'OPEX'!AJ13</f>
        <v/>
      </c>
      <c r="AK14" s="18">
        <f>'Gelir'!AK15-'Gelir'!AK14-'Gelir'!AK13-'OPEX'!AK13</f>
        <v/>
      </c>
      <c r="AL14" s="18">
        <f>'Gelir'!AL15-'Gelir'!AL14-'Gelir'!AL13-'OPEX'!AL13</f>
        <v/>
      </c>
      <c r="AM14" s="18">
        <f>'Gelir'!AM15-'Gelir'!AM14-'Gelir'!AM13-'OPEX'!AM13</f>
        <v/>
      </c>
      <c r="AN14" s="18">
        <f>'Gelir'!AN15-'Gelir'!AN14-'Gelir'!AN13-'OPEX'!AN13</f>
        <v/>
      </c>
      <c r="AO14" s="18">
        <f>'Gelir'!AO15-'Gelir'!AO14-'Gelir'!AO13-'OPEX'!AO13</f>
        <v/>
      </c>
      <c r="AP14" s="18">
        <f>'Gelir'!AP15-'Gelir'!AP14-'Gelir'!AP13-'OPEX'!AP13</f>
        <v/>
      </c>
      <c r="AQ14" s="18">
        <f>'Gelir'!AQ15-'Gelir'!AQ14-'Gelir'!AQ13-'OPEX'!AQ13</f>
        <v/>
      </c>
      <c r="AR14" s="18">
        <f>'Gelir'!AR15-'Gelir'!AR14-'Gelir'!AR13-'OPEX'!AR13</f>
        <v/>
      </c>
    </row>
    <row r="15">
      <c r="A15" t="inlineStr">
        <is>
          <t>Augmentation + batarya yenilemesi</t>
        </is>
      </c>
      <c r="B15" t="inlineStr">
        <is>
          <t>USD</t>
        </is>
      </c>
      <c r="C15" t="inlineStr"/>
      <c r="D15" s="18">
        <f>SUM(F15:AR15)</f>
        <v/>
      </c>
      <c r="E15" s="18" t="n">
        <v>0</v>
      </c>
      <c r="F15" s="18">
        <f>IF(OR('Zaman'!F9=8,'Zaman'!F9=16,'Zaman'!F9=28),Girdiler!$C$51*Girdiler!$C$26*Girdiler!$C$31*(1-Girdiler!$C$52)^'Zaman'!F9,0)+IF('Zaman'!F9=Girdiler!$C$53,Girdiler!$C$88*(1-Girdiler!$C$52)^Girdiler!$C$53,0)</f>
        <v/>
      </c>
      <c r="G15" s="18">
        <f>IF(OR('Zaman'!G9=8,'Zaman'!G9=16,'Zaman'!G9=28),Girdiler!$C$51*Girdiler!$C$26*Girdiler!$C$31*(1-Girdiler!$C$52)^'Zaman'!G9,0)+IF('Zaman'!G9=Girdiler!$C$53,Girdiler!$C$88*(1-Girdiler!$C$52)^Girdiler!$C$53,0)</f>
        <v/>
      </c>
      <c r="H15" s="18">
        <f>IF(OR('Zaman'!H9=8,'Zaman'!H9=16,'Zaman'!H9=28),Girdiler!$C$51*Girdiler!$C$26*Girdiler!$C$31*(1-Girdiler!$C$52)^'Zaman'!H9,0)+IF('Zaman'!H9=Girdiler!$C$53,Girdiler!$C$88*(1-Girdiler!$C$52)^Girdiler!$C$53,0)</f>
        <v/>
      </c>
      <c r="I15" s="18">
        <f>IF(OR('Zaman'!I9=8,'Zaman'!I9=16,'Zaman'!I9=28),Girdiler!$C$51*Girdiler!$C$26*Girdiler!$C$31*(1-Girdiler!$C$52)^'Zaman'!I9,0)+IF('Zaman'!I9=Girdiler!$C$53,Girdiler!$C$88*(1-Girdiler!$C$52)^Girdiler!$C$53,0)</f>
        <v/>
      </c>
      <c r="J15" s="18">
        <f>IF(OR('Zaman'!J9=8,'Zaman'!J9=16,'Zaman'!J9=28),Girdiler!$C$51*Girdiler!$C$26*Girdiler!$C$31*(1-Girdiler!$C$52)^'Zaman'!J9,0)+IF('Zaman'!J9=Girdiler!$C$53,Girdiler!$C$88*(1-Girdiler!$C$52)^Girdiler!$C$53,0)</f>
        <v/>
      </c>
      <c r="K15" s="18">
        <f>IF(OR('Zaman'!K9=8,'Zaman'!K9=16,'Zaman'!K9=28),Girdiler!$C$51*Girdiler!$C$26*Girdiler!$C$31*(1-Girdiler!$C$52)^'Zaman'!K9,0)+IF('Zaman'!K9=Girdiler!$C$53,Girdiler!$C$88*(1-Girdiler!$C$52)^Girdiler!$C$53,0)</f>
        <v/>
      </c>
      <c r="L15" s="18">
        <f>IF(OR('Zaman'!L9=8,'Zaman'!L9=16,'Zaman'!L9=28),Girdiler!$C$51*Girdiler!$C$26*Girdiler!$C$31*(1-Girdiler!$C$52)^'Zaman'!L9,0)+IF('Zaman'!L9=Girdiler!$C$53,Girdiler!$C$88*(1-Girdiler!$C$52)^Girdiler!$C$53,0)</f>
        <v/>
      </c>
      <c r="M15" s="18">
        <f>IF(OR('Zaman'!M9=8,'Zaman'!M9=16,'Zaman'!M9=28),Girdiler!$C$51*Girdiler!$C$26*Girdiler!$C$31*(1-Girdiler!$C$52)^'Zaman'!M9,0)+IF('Zaman'!M9=Girdiler!$C$53,Girdiler!$C$88*(1-Girdiler!$C$52)^Girdiler!$C$53,0)</f>
        <v/>
      </c>
      <c r="N15" s="18">
        <f>IF(OR('Zaman'!N9=8,'Zaman'!N9=16,'Zaman'!N9=28),Girdiler!$C$51*Girdiler!$C$26*Girdiler!$C$31*(1-Girdiler!$C$52)^'Zaman'!N9,0)+IF('Zaman'!N9=Girdiler!$C$53,Girdiler!$C$88*(1-Girdiler!$C$52)^Girdiler!$C$53,0)</f>
        <v/>
      </c>
      <c r="O15" s="18">
        <f>IF(OR('Zaman'!O9=8,'Zaman'!O9=16,'Zaman'!O9=28),Girdiler!$C$51*Girdiler!$C$26*Girdiler!$C$31*(1-Girdiler!$C$52)^'Zaman'!O9,0)+IF('Zaman'!O9=Girdiler!$C$53,Girdiler!$C$88*(1-Girdiler!$C$52)^Girdiler!$C$53,0)</f>
        <v/>
      </c>
      <c r="P15" s="18">
        <f>IF(OR('Zaman'!P9=8,'Zaman'!P9=16,'Zaman'!P9=28),Girdiler!$C$51*Girdiler!$C$26*Girdiler!$C$31*(1-Girdiler!$C$52)^'Zaman'!P9,0)+IF('Zaman'!P9=Girdiler!$C$53,Girdiler!$C$88*(1-Girdiler!$C$52)^Girdiler!$C$53,0)</f>
        <v/>
      </c>
      <c r="Q15" s="18">
        <f>IF(OR('Zaman'!Q9=8,'Zaman'!Q9=16,'Zaman'!Q9=28),Girdiler!$C$51*Girdiler!$C$26*Girdiler!$C$31*(1-Girdiler!$C$52)^'Zaman'!Q9,0)+IF('Zaman'!Q9=Girdiler!$C$53,Girdiler!$C$88*(1-Girdiler!$C$52)^Girdiler!$C$53,0)</f>
        <v/>
      </c>
      <c r="R15" s="18">
        <f>IF(OR('Zaman'!R9=8,'Zaman'!R9=16,'Zaman'!R9=28),Girdiler!$C$51*Girdiler!$C$26*Girdiler!$C$31*(1-Girdiler!$C$52)^'Zaman'!R9,0)+IF('Zaman'!R9=Girdiler!$C$53,Girdiler!$C$88*(1-Girdiler!$C$52)^Girdiler!$C$53,0)</f>
        <v/>
      </c>
      <c r="S15" s="18">
        <f>IF(OR('Zaman'!S9=8,'Zaman'!S9=16,'Zaman'!S9=28),Girdiler!$C$51*Girdiler!$C$26*Girdiler!$C$31*(1-Girdiler!$C$52)^'Zaman'!S9,0)+IF('Zaman'!S9=Girdiler!$C$53,Girdiler!$C$88*(1-Girdiler!$C$52)^Girdiler!$C$53,0)</f>
        <v/>
      </c>
      <c r="T15" s="18">
        <f>IF(OR('Zaman'!T9=8,'Zaman'!T9=16,'Zaman'!T9=28),Girdiler!$C$51*Girdiler!$C$26*Girdiler!$C$31*(1-Girdiler!$C$52)^'Zaman'!T9,0)+IF('Zaman'!T9=Girdiler!$C$53,Girdiler!$C$88*(1-Girdiler!$C$52)^Girdiler!$C$53,0)</f>
        <v/>
      </c>
      <c r="U15" s="18">
        <f>IF(OR('Zaman'!U9=8,'Zaman'!U9=16,'Zaman'!U9=28),Girdiler!$C$51*Girdiler!$C$26*Girdiler!$C$31*(1-Girdiler!$C$52)^'Zaman'!U9,0)+IF('Zaman'!U9=Girdiler!$C$53,Girdiler!$C$88*(1-Girdiler!$C$52)^Girdiler!$C$53,0)</f>
        <v/>
      </c>
      <c r="V15" s="18">
        <f>IF(OR('Zaman'!V9=8,'Zaman'!V9=16,'Zaman'!V9=28),Girdiler!$C$51*Girdiler!$C$26*Girdiler!$C$31*(1-Girdiler!$C$52)^'Zaman'!V9,0)+IF('Zaman'!V9=Girdiler!$C$53,Girdiler!$C$88*(1-Girdiler!$C$52)^Girdiler!$C$53,0)</f>
        <v/>
      </c>
      <c r="W15" s="18">
        <f>IF(OR('Zaman'!W9=8,'Zaman'!W9=16,'Zaman'!W9=28),Girdiler!$C$51*Girdiler!$C$26*Girdiler!$C$31*(1-Girdiler!$C$52)^'Zaman'!W9,0)+IF('Zaman'!W9=Girdiler!$C$53,Girdiler!$C$88*(1-Girdiler!$C$52)^Girdiler!$C$53,0)</f>
        <v/>
      </c>
      <c r="X15" s="18">
        <f>IF(OR('Zaman'!X9=8,'Zaman'!X9=16,'Zaman'!X9=28),Girdiler!$C$51*Girdiler!$C$26*Girdiler!$C$31*(1-Girdiler!$C$52)^'Zaman'!X9,0)+IF('Zaman'!X9=Girdiler!$C$53,Girdiler!$C$88*(1-Girdiler!$C$52)^Girdiler!$C$53,0)</f>
        <v/>
      </c>
      <c r="Y15" s="18">
        <f>IF(OR('Zaman'!Y9=8,'Zaman'!Y9=16,'Zaman'!Y9=28),Girdiler!$C$51*Girdiler!$C$26*Girdiler!$C$31*(1-Girdiler!$C$52)^'Zaman'!Y9,0)+IF('Zaman'!Y9=Girdiler!$C$53,Girdiler!$C$88*(1-Girdiler!$C$52)^Girdiler!$C$53,0)</f>
        <v/>
      </c>
      <c r="Z15" s="18">
        <f>IF(OR('Zaman'!Z9=8,'Zaman'!Z9=16,'Zaman'!Z9=28),Girdiler!$C$51*Girdiler!$C$26*Girdiler!$C$31*(1-Girdiler!$C$52)^'Zaman'!Z9,0)+IF('Zaman'!Z9=Girdiler!$C$53,Girdiler!$C$88*(1-Girdiler!$C$52)^Girdiler!$C$53,0)</f>
        <v/>
      </c>
      <c r="AA15" s="18">
        <f>IF(OR('Zaman'!AA9=8,'Zaman'!AA9=16,'Zaman'!AA9=28),Girdiler!$C$51*Girdiler!$C$26*Girdiler!$C$31*(1-Girdiler!$C$52)^'Zaman'!AA9,0)+IF('Zaman'!AA9=Girdiler!$C$53,Girdiler!$C$88*(1-Girdiler!$C$52)^Girdiler!$C$53,0)</f>
        <v/>
      </c>
      <c r="AB15" s="18">
        <f>IF(OR('Zaman'!AB9=8,'Zaman'!AB9=16,'Zaman'!AB9=28),Girdiler!$C$51*Girdiler!$C$26*Girdiler!$C$31*(1-Girdiler!$C$52)^'Zaman'!AB9,0)+IF('Zaman'!AB9=Girdiler!$C$53,Girdiler!$C$88*(1-Girdiler!$C$52)^Girdiler!$C$53,0)</f>
        <v/>
      </c>
      <c r="AC15" s="18">
        <f>IF(OR('Zaman'!AC9=8,'Zaman'!AC9=16,'Zaman'!AC9=28),Girdiler!$C$51*Girdiler!$C$26*Girdiler!$C$31*(1-Girdiler!$C$52)^'Zaman'!AC9,0)+IF('Zaman'!AC9=Girdiler!$C$53,Girdiler!$C$88*(1-Girdiler!$C$52)^Girdiler!$C$53,0)</f>
        <v/>
      </c>
      <c r="AD15" s="18">
        <f>IF(OR('Zaman'!AD9=8,'Zaman'!AD9=16,'Zaman'!AD9=28),Girdiler!$C$51*Girdiler!$C$26*Girdiler!$C$31*(1-Girdiler!$C$52)^'Zaman'!AD9,0)+IF('Zaman'!AD9=Girdiler!$C$53,Girdiler!$C$88*(1-Girdiler!$C$52)^Girdiler!$C$53,0)</f>
        <v/>
      </c>
      <c r="AE15" s="18">
        <f>IF(OR('Zaman'!AE9=8,'Zaman'!AE9=16,'Zaman'!AE9=28),Girdiler!$C$51*Girdiler!$C$26*Girdiler!$C$31*(1-Girdiler!$C$52)^'Zaman'!AE9,0)+IF('Zaman'!AE9=Girdiler!$C$53,Girdiler!$C$88*(1-Girdiler!$C$52)^Girdiler!$C$53,0)</f>
        <v/>
      </c>
      <c r="AF15" s="18">
        <f>IF(OR('Zaman'!AF9=8,'Zaman'!AF9=16,'Zaman'!AF9=28),Girdiler!$C$51*Girdiler!$C$26*Girdiler!$C$31*(1-Girdiler!$C$52)^'Zaman'!AF9,0)+IF('Zaman'!AF9=Girdiler!$C$53,Girdiler!$C$88*(1-Girdiler!$C$52)^Girdiler!$C$53,0)</f>
        <v/>
      </c>
      <c r="AG15" s="18">
        <f>IF(OR('Zaman'!AG9=8,'Zaman'!AG9=16,'Zaman'!AG9=28),Girdiler!$C$51*Girdiler!$C$26*Girdiler!$C$31*(1-Girdiler!$C$52)^'Zaman'!AG9,0)+IF('Zaman'!AG9=Girdiler!$C$53,Girdiler!$C$88*(1-Girdiler!$C$52)^Girdiler!$C$53,0)</f>
        <v/>
      </c>
      <c r="AH15" s="18">
        <f>IF(OR('Zaman'!AH9=8,'Zaman'!AH9=16,'Zaman'!AH9=28),Girdiler!$C$51*Girdiler!$C$26*Girdiler!$C$31*(1-Girdiler!$C$52)^'Zaman'!AH9,0)+IF('Zaman'!AH9=Girdiler!$C$53,Girdiler!$C$88*(1-Girdiler!$C$52)^Girdiler!$C$53,0)</f>
        <v/>
      </c>
      <c r="AI15" s="18">
        <f>IF(OR('Zaman'!AI9=8,'Zaman'!AI9=16,'Zaman'!AI9=28),Girdiler!$C$51*Girdiler!$C$26*Girdiler!$C$31*(1-Girdiler!$C$52)^'Zaman'!AI9,0)+IF('Zaman'!AI9=Girdiler!$C$53,Girdiler!$C$88*(1-Girdiler!$C$52)^Girdiler!$C$53,0)</f>
        <v/>
      </c>
      <c r="AJ15" s="18">
        <f>IF(OR('Zaman'!AJ9=8,'Zaman'!AJ9=16,'Zaman'!AJ9=28),Girdiler!$C$51*Girdiler!$C$26*Girdiler!$C$31*(1-Girdiler!$C$52)^'Zaman'!AJ9,0)+IF('Zaman'!AJ9=Girdiler!$C$53,Girdiler!$C$88*(1-Girdiler!$C$52)^Girdiler!$C$53,0)</f>
        <v/>
      </c>
      <c r="AK15" s="18">
        <f>IF(OR('Zaman'!AK9=8,'Zaman'!AK9=16,'Zaman'!AK9=28),Girdiler!$C$51*Girdiler!$C$26*Girdiler!$C$31*(1-Girdiler!$C$52)^'Zaman'!AK9,0)+IF('Zaman'!AK9=Girdiler!$C$53,Girdiler!$C$88*(1-Girdiler!$C$52)^Girdiler!$C$53,0)</f>
        <v/>
      </c>
      <c r="AL15" s="18">
        <f>IF(OR('Zaman'!AL9=8,'Zaman'!AL9=16,'Zaman'!AL9=28),Girdiler!$C$51*Girdiler!$C$26*Girdiler!$C$31*(1-Girdiler!$C$52)^'Zaman'!AL9,0)+IF('Zaman'!AL9=Girdiler!$C$53,Girdiler!$C$88*(1-Girdiler!$C$52)^Girdiler!$C$53,0)</f>
        <v/>
      </c>
      <c r="AM15" s="18">
        <f>IF(OR('Zaman'!AM9=8,'Zaman'!AM9=16,'Zaman'!AM9=28),Girdiler!$C$51*Girdiler!$C$26*Girdiler!$C$31*(1-Girdiler!$C$52)^'Zaman'!AM9,0)+IF('Zaman'!AM9=Girdiler!$C$53,Girdiler!$C$88*(1-Girdiler!$C$52)^Girdiler!$C$53,0)</f>
        <v/>
      </c>
      <c r="AN15" s="18">
        <f>IF(OR('Zaman'!AN9=8,'Zaman'!AN9=16,'Zaman'!AN9=28),Girdiler!$C$51*Girdiler!$C$26*Girdiler!$C$31*(1-Girdiler!$C$52)^'Zaman'!AN9,0)+IF('Zaman'!AN9=Girdiler!$C$53,Girdiler!$C$88*(1-Girdiler!$C$52)^Girdiler!$C$53,0)</f>
        <v/>
      </c>
      <c r="AO15" s="18">
        <f>IF(OR('Zaman'!AO9=8,'Zaman'!AO9=16,'Zaman'!AO9=28),Girdiler!$C$51*Girdiler!$C$26*Girdiler!$C$31*(1-Girdiler!$C$52)^'Zaman'!AO9,0)+IF('Zaman'!AO9=Girdiler!$C$53,Girdiler!$C$88*(1-Girdiler!$C$52)^Girdiler!$C$53,0)</f>
        <v/>
      </c>
      <c r="AP15" s="18">
        <f>IF(OR('Zaman'!AP9=8,'Zaman'!AP9=16,'Zaman'!AP9=28),Girdiler!$C$51*Girdiler!$C$26*Girdiler!$C$31*(1-Girdiler!$C$52)^'Zaman'!AP9,0)+IF('Zaman'!AP9=Girdiler!$C$53,Girdiler!$C$88*(1-Girdiler!$C$52)^Girdiler!$C$53,0)</f>
        <v/>
      </c>
      <c r="AQ15" s="18">
        <f>IF(OR('Zaman'!AQ9=8,'Zaman'!AQ9=16,'Zaman'!AQ9=28),Girdiler!$C$51*Girdiler!$C$26*Girdiler!$C$31*(1-Girdiler!$C$52)^'Zaman'!AQ9,0)+IF('Zaman'!AQ9=Girdiler!$C$53,Girdiler!$C$88*(1-Girdiler!$C$52)^Girdiler!$C$53,0)</f>
        <v/>
      </c>
      <c r="AR15" s="18">
        <f>IF(OR('Zaman'!AR9=8,'Zaman'!AR9=16,'Zaman'!AR9=28),Girdiler!$C$51*Girdiler!$C$26*Girdiler!$C$31*(1-Girdiler!$C$52)^'Zaman'!AR9,0)+IF('Zaman'!AR9=Girdiler!$C$53,Girdiler!$C$88*(1-Girdiler!$C$52)^Girdiler!$C$53,0)</f>
        <v/>
      </c>
    </row>
    <row r="16">
      <c r="A16" t="inlineStr">
        <is>
          <t>Söküm (son işletme yılı)</t>
        </is>
      </c>
      <c r="B16" t="inlineStr">
        <is>
          <t>USD</t>
        </is>
      </c>
      <c r="C16" t="inlineStr"/>
      <c r="D16" s="18">
        <f>SUM(F16:AR16)</f>
        <v/>
      </c>
      <c r="E16" s="18" t="n">
        <v>0</v>
      </c>
      <c r="F16" s="18">
        <f>IF('Zaman'!F9=Girdiler!$C$36,Girdiler!$C$54*Girdiler!$C$26+Girdiler!$C$55*Girdiler!$C$24,0)</f>
        <v/>
      </c>
      <c r="G16" s="18">
        <f>IF('Zaman'!G9=Girdiler!$C$36,Girdiler!$C$54*Girdiler!$C$26+Girdiler!$C$55*Girdiler!$C$24,0)</f>
        <v/>
      </c>
      <c r="H16" s="18">
        <f>IF('Zaman'!H9=Girdiler!$C$36,Girdiler!$C$54*Girdiler!$C$26+Girdiler!$C$55*Girdiler!$C$24,0)</f>
        <v/>
      </c>
      <c r="I16" s="18">
        <f>IF('Zaman'!I9=Girdiler!$C$36,Girdiler!$C$54*Girdiler!$C$26+Girdiler!$C$55*Girdiler!$C$24,0)</f>
        <v/>
      </c>
      <c r="J16" s="18">
        <f>IF('Zaman'!J9=Girdiler!$C$36,Girdiler!$C$54*Girdiler!$C$26+Girdiler!$C$55*Girdiler!$C$24,0)</f>
        <v/>
      </c>
      <c r="K16" s="18">
        <f>IF('Zaman'!K9=Girdiler!$C$36,Girdiler!$C$54*Girdiler!$C$26+Girdiler!$C$55*Girdiler!$C$24,0)</f>
        <v/>
      </c>
      <c r="L16" s="18">
        <f>IF('Zaman'!L9=Girdiler!$C$36,Girdiler!$C$54*Girdiler!$C$26+Girdiler!$C$55*Girdiler!$C$24,0)</f>
        <v/>
      </c>
      <c r="M16" s="18">
        <f>IF('Zaman'!M9=Girdiler!$C$36,Girdiler!$C$54*Girdiler!$C$26+Girdiler!$C$55*Girdiler!$C$24,0)</f>
        <v/>
      </c>
      <c r="N16" s="18">
        <f>IF('Zaman'!N9=Girdiler!$C$36,Girdiler!$C$54*Girdiler!$C$26+Girdiler!$C$55*Girdiler!$C$24,0)</f>
        <v/>
      </c>
      <c r="O16" s="18">
        <f>IF('Zaman'!O9=Girdiler!$C$36,Girdiler!$C$54*Girdiler!$C$26+Girdiler!$C$55*Girdiler!$C$24,0)</f>
        <v/>
      </c>
      <c r="P16" s="18">
        <f>IF('Zaman'!P9=Girdiler!$C$36,Girdiler!$C$54*Girdiler!$C$26+Girdiler!$C$55*Girdiler!$C$24,0)</f>
        <v/>
      </c>
      <c r="Q16" s="18">
        <f>IF('Zaman'!Q9=Girdiler!$C$36,Girdiler!$C$54*Girdiler!$C$26+Girdiler!$C$55*Girdiler!$C$24,0)</f>
        <v/>
      </c>
      <c r="R16" s="18">
        <f>IF('Zaman'!R9=Girdiler!$C$36,Girdiler!$C$54*Girdiler!$C$26+Girdiler!$C$55*Girdiler!$C$24,0)</f>
        <v/>
      </c>
      <c r="S16" s="18">
        <f>IF('Zaman'!S9=Girdiler!$C$36,Girdiler!$C$54*Girdiler!$C$26+Girdiler!$C$55*Girdiler!$C$24,0)</f>
        <v/>
      </c>
      <c r="T16" s="18">
        <f>IF('Zaman'!T9=Girdiler!$C$36,Girdiler!$C$54*Girdiler!$C$26+Girdiler!$C$55*Girdiler!$C$24,0)</f>
        <v/>
      </c>
      <c r="U16" s="18">
        <f>IF('Zaman'!U9=Girdiler!$C$36,Girdiler!$C$54*Girdiler!$C$26+Girdiler!$C$55*Girdiler!$C$24,0)</f>
        <v/>
      </c>
      <c r="V16" s="18">
        <f>IF('Zaman'!V9=Girdiler!$C$36,Girdiler!$C$54*Girdiler!$C$26+Girdiler!$C$55*Girdiler!$C$24,0)</f>
        <v/>
      </c>
      <c r="W16" s="18">
        <f>IF('Zaman'!W9=Girdiler!$C$36,Girdiler!$C$54*Girdiler!$C$26+Girdiler!$C$55*Girdiler!$C$24,0)</f>
        <v/>
      </c>
      <c r="X16" s="18">
        <f>IF('Zaman'!X9=Girdiler!$C$36,Girdiler!$C$54*Girdiler!$C$26+Girdiler!$C$55*Girdiler!$C$24,0)</f>
        <v/>
      </c>
      <c r="Y16" s="18">
        <f>IF('Zaman'!Y9=Girdiler!$C$36,Girdiler!$C$54*Girdiler!$C$26+Girdiler!$C$55*Girdiler!$C$24,0)</f>
        <v/>
      </c>
      <c r="Z16" s="18">
        <f>IF('Zaman'!Z9=Girdiler!$C$36,Girdiler!$C$54*Girdiler!$C$26+Girdiler!$C$55*Girdiler!$C$24,0)</f>
        <v/>
      </c>
      <c r="AA16" s="18">
        <f>IF('Zaman'!AA9=Girdiler!$C$36,Girdiler!$C$54*Girdiler!$C$26+Girdiler!$C$55*Girdiler!$C$24,0)</f>
        <v/>
      </c>
      <c r="AB16" s="18">
        <f>IF('Zaman'!AB9=Girdiler!$C$36,Girdiler!$C$54*Girdiler!$C$26+Girdiler!$C$55*Girdiler!$C$24,0)</f>
        <v/>
      </c>
      <c r="AC16" s="18">
        <f>IF('Zaman'!AC9=Girdiler!$C$36,Girdiler!$C$54*Girdiler!$C$26+Girdiler!$C$55*Girdiler!$C$24,0)</f>
        <v/>
      </c>
      <c r="AD16" s="18">
        <f>IF('Zaman'!AD9=Girdiler!$C$36,Girdiler!$C$54*Girdiler!$C$26+Girdiler!$C$55*Girdiler!$C$24,0)</f>
        <v/>
      </c>
      <c r="AE16" s="18">
        <f>IF('Zaman'!AE9=Girdiler!$C$36,Girdiler!$C$54*Girdiler!$C$26+Girdiler!$C$55*Girdiler!$C$24,0)</f>
        <v/>
      </c>
      <c r="AF16" s="18">
        <f>IF('Zaman'!AF9=Girdiler!$C$36,Girdiler!$C$54*Girdiler!$C$26+Girdiler!$C$55*Girdiler!$C$24,0)</f>
        <v/>
      </c>
      <c r="AG16" s="18">
        <f>IF('Zaman'!AG9=Girdiler!$C$36,Girdiler!$C$54*Girdiler!$C$26+Girdiler!$C$55*Girdiler!$C$24,0)</f>
        <v/>
      </c>
      <c r="AH16" s="18">
        <f>IF('Zaman'!AH9=Girdiler!$C$36,Girdiler!$C$54*Girdiler!$C$26+Girdiler!$C$55*Girdiler!$C$24,0)</f>
        <v/>
      </c>
      <c r="AI16" s="18">
        <f>IF('Zaman'!AI9=Girdiler!$C$36,Girdiler!$C$54*Girdiler!$C$26+Girdiler!$C$55*Girdiler!$C$24,0)</f>
        <v/>
      </c>
      <c r="AJ16" s="18">
        <f>IF('Zaman'!AJ9=Girdiler!$C$36,Girdiler!$C$54*Girdiler!$C$26+Girdiler!$C$55*Girdiler!$C$24,0)</f>
        <v/>
      </c>
      <c r="AK16" s="18">
        <f>IF('Zaman'!AK9=Girdiler!$C$36,Girdiler!$C$54*Girdiler!$C$26+Girdiler!$C$55*Girdiler!$C$24,0)</f>
        <v/>
      </c>
      <c r="AL16" s="18">
        <f>IF('Zaman'!AL9=Girdiler!$C$36,Girdiler!$C$54*Girdiler!$C$26+Girdiler!$C$55*Girdiler!$C$24,0)</f>
        <v/>
      </c>
      <c r="AM16" s="18">
        <f>IF('Zaman'!AM9=Girdiler!$C$36,Girdiler!$C$54*Girdiler!$C$26+Girdiler!$C$55*Girdiler!$C$24,0)</f>
        <v/>
      </c>
      <c r="AN16" s="18">
        <f>IF('Zaman'!AN9=Girdiler!$C$36,Girdiler!$C$54*Girdiler!$C$26+Girdiler!$C$55*Girdiler!$C$24,0)</f>
        <v/>
      </c>
      <c r="AO16" s="18">
        <f>IF('Zaman'!AO9=Girdiler!$C$36,Girdiler!$C$54*Girdiler!$C$26+Girdiler!$C$55*Girdiler!$C$24,0)</f>
        <v/>
      </c>
      <c r="AP16" s="18">
        <f>IF('Zaman'!AP9=Girdiler!$C$36,Girdiler!$C$54*Girdiler!$C$26+Girdiler!$C$55*Girdiler!$C$24,0)</f>
        <v/>
      </c>
      <c r="AQ16" s="18">
        <f>IF('Zaman'!AQ9=Girdiler!$C$36,Girdiler!$C$54*Girdiler!$C$26+Girdiler!$C$55*Girdiler!$C$24,0)</f>
        <v/>
      </c>
      <c r="AR16" s="18">
        <f>IF('Zaman'!AR9=Girdiler!$C$36,Girdiler!$C$54*Girdiler!$C$26+Girdiler!$C$55*Girdiler!$C$24,0)</f>
        <v/>
      </c>
    </row>
    <row r="17"/>
    <row r="18">
      <c r="A18" s="26" t="inlineStr">
        <is>
          <t>— Blok: P90 (borç boyutlandırma) —</t>
        </is>
      </c>
    </row>
    <row r="19">
      <c r="A19" t="inlineStr">
        <is>
          <t>RES sabit O&amp;M + arazi</t>
        </is>
      </c>
      <c r="B19" t="inlineStr">
        <is>
          <t>USD</t>
        </is>
      </c>
      <c r="C19" t="inlineStr"/>
      <c r="D19" s="18">
        <f>SUM(F19:AR19)</f>
        <v/>
      </c>
      <c r="E19" s="18" t="n">
        <v>0</v>
      </c>
      <c r="F19" s="18">
        <f>IF('Zaman'!F9&gt;0,1,0)*(Girdiler!$C$39+Girdiler!$C$40*(1-Girdiler!$C$20))*Girdiler!$C$24</f>
        <v/>
      </c>
      <c r="G19" s="18">
        <f>IF('Zaman'!G9&gt;0,1,0)*(Girdiler!$C$39+Girdiler!$C$40*(1-Girdiler!$C$20))*Girdiler!$C$24</f>
        <v/>
      </c>
      <c r="H19" s="18">
        <f>IF('Zaman'!H9&gt;0,1,0)*(Girdiler!$C$39+Girdiler!$C$40*(1-Girdiler!$C$20))*Girdiler!$C$24</f>
        <v/>
      </c>
      <c r="I19" s="18">
        <f>IF('Zaman'!I9&gt;0,1,0)*(Girdiler!$C$39+Girdiler!$C$40*(1-Girdiler!$C$20))*Girdiler!$C$24</f>
        <v/>
      </c>
      <c r="J19" s="18">
        <f>IF('Zaman'!J9&gt;0,1,0)*(Girdiler!$C$39+Girdiler!$C$40*(1-Girdiler!$C$20))*Girdiler!$C$24</f>
        <v/>
      </c>
      <c r="K19" s="18">
        <f>IF('Zaman'!K9&gt;0,1,0)*(Girdiler!$C$39+Girdiler!$C$40*(1-Girdiler!$C$20))*Girdiler!$C$24</f>
        <v/>
      </c>
      <c r="L19" s="18">
        <f>IF('Zaman'!L9&gt;0,1,0)*(Girdiler!$C$39+Girdiler!$C$40*(1-Girdiler!$C$20))*Girdiler!$C$24</f>
        <v/>
      </c>
      <c r="M19" s="18">
        <f>IF('Zaman'!M9&gt;0,1,0)*(Girdiler!$C$39+Girdiler!$C$40*(1-Girdiler!$C$20))*Girdiler!$C$24</f>
        <v/>
      </c>
      <c r="N19" s="18">
        <f>IF('Zaman'!N9&gt;0,1,0)*(Girdiler!$C$39+Girdiler!$C$40*(1-Girdiler!$C$20))*Girdiler!$C$24</f>
        <v/>
      </c>
      <c r="O19" s="18">
        <f>IF('Zaman'!O9&gt;0,1,0)*(Girdiler!$C$39+Girdiler!$C$40*(1-Girdiler!$C$20))*Girdiler!$C$24</f>
        <v/>
      </c>
      <c r="P19" s="18">
        <f>IF('Zaman'!P9&gt;0,1,0)*(Girdiler!$C$39+Girdiler!$C$40*(1-Girdiler!$C$20))*Girdiler!$C$24</f>
        <v/>
      </c>
      <c r="Q19" s="18">
        <f>IF('Zaman'!Q9&gt;0,1,0)*(Girdiler!$C$39+Girdiler!$C$40*(1-Girdiler!$C$20))*Girdiler!$C$24</f>
        <v/>
      </c>
      <c r="R19" s="18">
        <f>IF('Zaman'!R9&gt;0,1,0)*(Girdiler!$C$39+Girdiler!$C$40*(1-Girdiler!$C$20))*Girdiler!$C$24</f>
        <v/>
      </c>
      <c r="S19" s="18">
        <f>IF('Zaman'!S9&gt;0,1,0)*(Girdiler!$C$39+Girdiler!$C$40*(1-Girdiler!$C$20))*Girdiler!$C$24</f>
        <v/>
      </c>
      <c r="T19" s="18">
        <f>IF('Zaman'!T9&gt;0,1,0)*(Girdiler!$C$39+Girdiler!$C$40*(1-Girdiler!$C$20))*Girdiler!$C$24</f>
        <v/>
      </c>
      <c r="U19" s="18">
        <f>IF('Zaman'!U9&gt;0,1,0)*(Girdiler!$C$39+Girdiler!$C$40*(1-Girdiler!$C$20))*Girdiler!$C$24</f>
        <v/>
      </c>
      <c r="V19" s="18">
        <f>IF('Zaman'!V9&gt;0,1,0)*(Girdiler!$C$39+Girdiler!$C$40*(1-Girdiler!$C$20))*Girdiler!$C$24</f>
        <v/>
      </c>
      <c r="W19" s="18">
        <f>IF('Zaman'!W9&gt;0,1,0)*(Girdiler!$C$39+Girdiler!$C$40*(1-Girdiler!$C$20))*Girdiler!$C$24</f>
        <v/>
      </c>
      <c r="X19" s="18">
        <f>IF('Zaman'!X9&gt;0,1,0)*(Girdiler!$C$39+Girdiler!$C$40*(1-Girdiler!$C$20))*Girdiler!$C$24</f>
        <v/>
      </c>
      <c r="Y19" s="18">
        <f>IF('Zaman'!Y9&gt;0,1,0)*(Girdiler!$C$39+Girdiler!$C$40*(1-Girdiler!$C$20))*Girdiler!$C$24</f>
        <v/>
      </c>
      <c r="Z19" s="18">
        <f>IF('Zaman'!Z9&gt;0,1,0)*(Girdiler!$C$39+Girdiler!$C$40*(1-Girdiler!$C$20))*Girdiler!$C$24</f>
        <v/>
      </c>
      <c r="AA19" s="18">
        <f>IF('Zaman'!AA9&gt;0,1,0)*(Girdiler!$C$39+Girdiler!$C$40*(1-Girdiler!$C$20))*Girdiler!$C$24</f>
        <v/>
      </c>
      <c r="AB19" s="18">
        <f>IF('Zaman'!AB9&gt;0,1,0)*(Girdiler!$C$39+Girdiler!$C$40*(1-Girdiler!$C$20))*Girdiler!$C$24</f>
        <v/>
      </c>
      <c r="AC19" s="18">
        <f>IF('Zaman'!AC9&gt;0,1,0)*(Girdiler!$C$39+Girdiler!$C$40*(1-Girdiler!$C$20))*Girdiler!$C$24</f>
        <v/>
      </c>
      <c r="AD19" s="18">
        <f>IF('Zaman'!AD9&gt;0,1,0)*(Girdiler!$C$39+Girdiler!$C$40*(1-Girdiler!$C$20))*Girdiler!$C$24</f>
        <v/>
      </c>
      <c r="AE19" s="18">
        <f>IF('Zaman'!AE9&gt;0,1,0)*(Girdiler!$C$39+Girdiler!$C$40*(1-Girdiler!$C$20))*Girdiler!$C$24</f>
        <v/>
      </c>
      <c r="AF19" s="18">
        <f>IF('Zaman'!AF9&gt;0,1,0)*(Girdiler!$C$39+Girdiler!$C$40*(1-Girdiler!$C$20))*Girdiler!$C$24</f>
        <v/>
      </c>
      <c r="AG19" s="18">
        <f>IF('Zaman'!AG9&gt;0,1,0)*(Girdiler!$C$39+Girdiler!$C$40*(1-Girdiler!$C$20))*Girdiler!$C$24</f>
        <v/>
      </c>
      <c r="AH19" s="18">
        <f>IF('Zaman'!AH9&gt;0,1,0)*(Girdiler!$C$39+Girdiler!$C$40*(1-Girdiler!$C$20))*Girdiler!$C$24</f>
        <v/>
      </c>
      <c r="AI19" s="18">
        <f>IF('Zaman'!AI9&gt;0,1,0)*(Girdiler!$C$39+Girdiler!$C$40*(1-Girdiler!$C$20))*Girdiler!$C$24</f>
        <v/>
      </c>
      <c r="AJ19" s="18">
        <f>IF('Zaman'!AJ9&gt;0,1,0)*(Girdiler!$C$39+Girdiler!$C$40*(1-Girdiler!$C$20))*Girdiler!$C$24</f>
        <v/>
      </c>
      <c r="AK19" s="18">
        <f>IF('Zaman'!AK9&gt;0,1,0)*(Girdiler!$C$39+Girdiler!$C$40*(1-Girdiler!$C$20))*Girdiler!$C$24</f>
        <v/>
      </c>
      <c r="AL19" s="18">
        <f>IF('Zaman'!AL9&gt;0,1,0)*(Girdiler!$C$39+Girdiler!$C$40*(1-Girdiler!$C$20))*Girdiler!$C$24</f>
        <v/>
      </c>
      <c r="AM19" s="18">
        <f>IF('Zaman'!AM9&gt;0,1,0)*(Girdiler!$C$39+Girdiler!$C$40*(1-Girdiler!$C$20))*Girdiler!$C$24</f>
        <v/>
      </c>
      <c r="AN19" s="18">
        <f>IF('Zaman'!AN9&gt;0,1,0)*(Girdiler!$C$39+Girdiler!$C$40*(1-Girdiler!$C$20))*Girdiler!$C$24</f>
        <v/>
      </c>
      <c r="AO19" s="18">
        <f>IF('Zaman'!AO9&gt;0,1,0)*(Girdiler!$C$39+Girdiler!$C$40*(1-Girdiler!$C$20))*Girdiler!$C$24</f>
        <v/>
      </c>
      <c r="AP19" s="18">
        <f>IF('Zaman'!AP9&gt;0,1,0)*(Girdiler!$C$39+Girdiler!$C$40*(1-Girdiler!$C$20))*Girdiler!$C$24</f>
        <v/>
      </c>
      <c r="AQ19" s="18">
        <f>IF('Zaman'!AQ9&gt;0,1,0)*(Girdiler!$C$39+Girdiler!$C$40*(1-Girdiler!$C$20))*Girdiler!$C$24</f>
        <v/>
      </c>
      <c r="AR19" s="18">
        <f>IF('Zaman'!AR9&gt;0,1,0)*(Girdiler!$C$39+Girdiler!$C$40*(1-Girdiler!$C$20))*Girdiler!$C$24</f>
        <v/>
      </c>
    </row>
    <row r="20">
      <c r="A20" t="inlineStr">
        <is>
          <t>Batarya O&amp;M</t>
        </is>
      </c>
      <c r="B20" t="inlineStr">
        <is>
          <t>USD</t>
        </is>
      </c>
      <c r="C20" t="inlineStr"/>
      <c r="D20" s="18">
        <f>SUM(F20:AR20)</f>
        <v/>
      </c>
      <c r="E20" s="18" t="n">
        <v>0</v>
      </c>
      <c r="F20" s="18">
        <f>IF('Zaman'!F9&gt;0,1,0)*Girdiler!$C$41*Girdiler!$C$88</f>
        <v/>
      </c>
      <c r="G20" s="18">
        <f>IF('Zaman'!G9&gt;0,1,0)*Girdiler!$C$41*Girdiler!$C$88</f>
        <v/>
      </c>
      <c r="H20" s="18">
        <f>IF('Zaman'!H9&gt;0,1,0)*Girdiler!$C$41*Girdiler!$C$88</f>
        <v/>
      </c>
      <c r="I20" s="18">
        <f>IF('Zaman'!I9&gt;0,1,0)*Girdiler!$C$41*Girdiler!$C$88</f>
        <v/>
      </c>
      <c r="J20" s="18">
        <f>IF('Zaman'!J9&gt;0,1,0)*Girdiler!$C$41*Girdiler!$C$88</f>
        <v/>
      </c>
      <c r="K20" s="18">
        <f>IF('Zaman'!K9&gt;0,1,0)*Girdiler!$C$41*Girdiler!$C$88</f>
        <v/>
      </c>
      <c r="L20" s="18">
        <f>IF('Zaman'!L9&gt;0,1,0)*Girdiler!$C$41*Girdiler!$C$88</f>
        <v/>
      </c>
      <c r="M20" s="18">
        <f>IF('Zaman'!M9&gt;0,1,0)*Girdiler!$C$41*Girdiler!$C$88</f>
        <v/>
      </c>
      <c r="N20" s="18">
        <f>IF('Zaman'!N9&gt;0,1,0)*Girdiler!$C$41*Girdiler!$C$88</f>
        <v/>
      </c>
      <c r="O20" s="18">
        <f>IF('Zaman'!O9&gt;0,1,0)*Girdiler!$C$41*Girdiler!$C$88</f>
        <v/>
      </c>
      <c r="P20" s="18">
        <f>IF('Zaman'!P9&gt;0,1,0)*Girdiler!$C$41*Girdiler!$C$88</f>
        <v/>
      </c>
      <c r="Q20" s="18">
        <f>IF('Zaman'!Q9&gt;0,1,0)*Girdiler!$C$41*Girdiler!$C$88</f>
        <v/>
      </c>
      <c r="R20" s="18">
        <f>IF('Zaman'!R9&gt;0,1,0)*Girdiler!$C$41*Girdiler!$C$88</f>
        <v/>
      </c>
      <c r="S20" s="18">
        <f>IF('Zaman'!S9&gt;0,1,0)*Girdiler!$C$41*Girdiler!$C$88</f>
        <v/>
      </c>
      <c r="T20" s="18">
        <f>IF('Zaman'!T9&gt;0,1,0)*Girdiler!$C$41*Girdiler!$C$88</f>
        <v/>
      </c>
      <c r="U20" s="18">
        <f>IF('Zaman'!U9&gt;0,1,0)*Girdiler!$C$41*Girdiler!$C$88</f>
        <v/>
      </c>
      <c r="V20" s="18">
        <f>IF('Zaman'!V9&gt;0,1,0)*Girdiler!$C$41*Girdiler!$C$88</f>
        <v/>
      </c>
      <c r="W20" s="18">
        <f>IF('Zaman'!W9&gt;0,1,0)*Girdiler!$C$41*Girdiler!$C$88</f>
        <v/>
      </c>
      <c r="X20" s="18">
        <f>IF('Zaman'!X9&gt;0,1,0)*Girdiler!$C$41*Girdiler!$C$88</f>
        <v/>
      </c>
      <c r="Y20" s="18">
        <f>IF('Zaman'!Y9&gt;0,1,0)*Girdiler!$C$41*Girdiler!$C$88</f>
        <v/>
      </c>
      <c r="Z20" s="18">
        <f>IF('Zaman'!Z9&gt;0,1,0)*Girdiler!$C$41*Girdiler!$C$88</f>
        <v/>
      </c>
      <c r="AA20" s="18">
        <f>IF('Zaman'!AA9&gt;0,1,0)*Girdiler!$C$41*Girdiler!$C$88</f>
        <v/>
      </c>
      <c r="AB20" s="18">
        <f>IF('Zaman'!AB9&gt;0,1,0)*Girdiler!$C$41*Girdiler!$C$88</f>
        <v/>
      </c>
      <c r="AC20" s="18">
        <f>IF('Zaman'!AC9&gt;0,1,0)*Girdiler!$C$41*Girdiler!$C$88</f>
        <v/>
      </c>
      <c r="AD20" s="18">
        <f>IF('Zaman'!AD9&gt;0,1,0)*Girdiler!$C$41*Girdiler!$C$88</f>
        <v/>
      </c>
      <c r="AE20" s="18">
        <f>IF('Zaman'!AE9&gt;0,1,0)*Girdiler!$C$41*Girdiler!$C$88</f>
        <v/>
      </c>
      <c r="AF20" s="18">
        <f>IF('Zaman'!AF9&gt;0,1,0)*Girdiler!$C$41*Girdiler!$C$88</f>
        <v/>
      </c>
      <c r="AG20" s="18">
        <f>IF('Zaman'!AG9&gt;0,1,0)*Girdiler!$C$41*Girdiler!$C$88</f>
        <v/>
      </c>
      <c r="AH20" s="18">
        <f>IF('Zaman'!AH9&gt;0,1,0)*Girdiler!$C$41*Girdiler!$C$88</f>
        <v/>
      </c>
      <c r="AI20" s="18">
        <f>IF('Zaman'!AI9&gt;0,1,0)*Girdiler!$C$41*Girdiler!$C$88</f>
        <v/>
      </c>
      <c r="AJ20" s="18">
        <f>IF('Zaman'!AJ9&gt;0,1,0)*Girdiler!$C$41*Girdiler!$C$88</f>
        <v/>
      </c>
      <c r="AK20" s="18">
        <f>IF('Zaman'!AK9&gt;0,1,0)*Girdiler!$C$41*Girdiler!$C$88</f>
        <v/>
      </c>
      <c r="AL20" s="18">
        <f>IF('Zaman'!AL9&gt;0,1,0)*Girdiler!$C$41*Girdiler!$C$88</f>
        <v/>
      </c>
      <c r="AM20" s="18">
        <f>IF('Zaman'!AM9&gt;0,1,0)*Girdiler!$C$41*Girdiler!$C$88</f>
        <v/>
      </c>
      <c r="AN20" s="18">
        <f>IF('Zaman'!AN9&gt;0,1,0)*Girdiler!$C$41*Girdiler!$C$88</f>
        <v/>
      </c>
      <c r="AO20" s="18">
        <f>IF('Zaman'!AO9&gt;0,1,0)*Girdiler!$C$41*Girdiler!$C$88</f>
        <v/>
      </c>
      <c r="AP20" s="18">
        <f>IF('Zaman'!AP9&gt;0,1,0)*Girdiler!$C$41*Girdiler!$C$88</f>
        <v/>
      </c>
      <c r="AQ20" s="18">
        <f>IF('Zaman'!AQ9&gt;0,1,0)*Girdiler!$C$41*Girdiler!$C$88</f>
        <v/>
      </c>
      <c r="AR20" s="18">
        <f>IF('Zaman'!AR9&gt;0,1,0)*Girdiler!$C$41*Girdiler!$C$88</f>
        <v/>
      </c>
    </row>
    <row r="21">
      <c r="A21" t="inlineStr">
        <is>
          <t>Sigorta</t>
        </is>
      </c>
      <c r="B21" t="inlineStr">
        <is>
          <t>USD</t>
        </is>
      </c>
      <c r="C21" t="inlineStr"/>
      <c r="D21" s="18">
        <f>SUM(F21:AR21)</f>
        <v/>
      </c>
      <c r="E21" s="18" t="n">
        <v>0</v>
      </c>
      <c r="F21" s="18">
        <f>IF('Zaman'!F9&gt;0,1,0)*Girdiler!$C$42*(Girdiler!$C$90-Girdiler!$C$20*Girdiler!$C$87)</f>
        <v/>
      </c>
      <c r="G21" s="18">
        <f>IF('Zaman'!G9&gt;0,1,0)*Girdiler!$C$42*(Girdiler!$C$90-Girdiler!$C$20*Girdiler!$C$87)</f>
        <v/>
      </c>
      <c r="H21" s="18">
        <f>IF('Zaman'!H9&gt;0,1,0)*Girdiler!$C$42*(Girdiler!$C$90-Girdiler!$C$20*Girdiler!$C$87)</f>
        <v/>
      </c>
      <c r="I21" s="18">
        <f>IF('Zaman'!I9&gt;0,1,0)*Girdiler!$C$42*(Girdiler!$C$90-Girdiler!$C$20*Girdiler!$C$87)</f>
        <v/>
      </c>
      <c r="J21" s="18">
        <f>IF('Zaman'!J9&gt;0,1,0)*Girdiler!$C$42*(Girdiler!$C$90-Girdiler!$C$20*Girdiler!$C$87)</f>
        <v/>
      </c>
      <c r="K21" s="18">
        <f>IF('Zaman'!K9&gt;0,1,0)*Girdiler!$C$42*(Girdiler!$C$90-Girdiler!$C$20*Girdiler!$C$87)</f>
        <v/>
      </c>
      <c r="L21" s="18">
        <f>IF('Zaman'!L9&gt;0,1,0)*Girdiler!$C$42*(Girdiler!$C$90-Girdiler!$C$20*Girdiler!$C$87)</f>
        <v/>
      </c>
      <c r="M21" s="18">
        <f>IF('Zaman'!M9&gt;0,1,0)*Girdiler!$C$42*(Girdiler!$C$90-Girdiler!$C$20*Girdiler!$C$87)</f>
        <v/>
      </c>
      <c r="N21" s="18">
        <f>IF('Zaman'!N9&gt;0,1,0)*Girdiler!$C$42*(Girdiler!$C$90-Girdiler!$C$20*Girdiler!$C$87)</f>
        <v/>
      </c>
      <c r="O21" s="18">
        <f>IF('Zaman'!O9&gt;0,1,0)*Girdiler!$C$42*(Girdiler!$C$90-Girdiler!$C$20*Girdiler!$C$87)</f>
        <v/>
      </c>
      <c r="P21" s="18">
        <f>IF('Zaman'!P9&gt;0,1,0)*Girdiler!$C$42*(Girdiler!$C$90-Girdiler!$C$20*Girdiler!$C$87)</f>
        <v/>
      </c>
      <c r="Q21" s="18">
        <f>IF('Zaman'!Q9&gt;0,1,0)*Girdiler!$C$42*(Girdiler!$C$90-Girdiler!$C$20*Girdiler!$C$87)</f>
        <v/>
      </c>
      <c r="R21" s="18">
        <f>IF('Zaman'!R9&gt;0,1,0)*Girdiler!$C$42*(Girdiler!$C$90-Girdiler!$C$20*Girdiler!$C$87)</f>
        <v/>
      </c>
      <c r="S21" s="18">
        <f>IF('Zaman'!S9&gt;0,1,0)*Girdiler!$C$42*(Girdiler!$C$90-Girdiler!$C$20*Girdiler!$C$87)</f>
        <v/>
      </c>
      <c r="T21" s="18">
        <f>IF('Zaman'!T9&gt;0,1,0)*Girdiler!$C$42*(Girdiler!$C$90-Girdiler!$C$20*Girdiler!$C$87)</f>
        <v/>
      </c>
      <c r="U21" s="18">
        <f>IF('Zaman'!U9&gt;0,1,0)*Girdiler!$C$42*(Girdiler!$C$90-Girdiler!$C$20*Girdiler!$C$87)</f>
        <v/>
      </c>
      <c r="V21" s="18">
        <f>IF('Zaman'!V9&gt;0,1,0)*Girdiler!$C$42*(Girdiler!$C$90-Girdiler!$C$20*Girdiler!$C$87)</f>
        <v/>
      </c>
      <c r="W21" s="18">
        <f>IF('Zaman'!W9&gt;0,1,0)*Girdiler!$C$42*(Girdiler!$C$90-Girdiler!$C$20*Girdiler!$C$87)</f>
        <v/>
      </c>
      <c r="X21" s="18">
        <f>IF('Zaman'!X9&gt;0,1,0)*Girdiler!$C$42*(Girdiler!$C$90-Girdiler!$C$20*Girdiler!$C$87)</f>
        <v/>
      </c>
      <c r="Y21" s="18">
        <f>IF('Zaman'!Y9&gt;0,1,0)*Girdiler!$C$42*(Girdiler!$C$90-Girdiler!$C$20*Girdiler!$C$87)</f>
        <v/>
      </c>
      <c r="Z21" s="18">
        <f>IF('Zaman'!Z9&gt;0,1,0)*Girdiler!$C$42*(Girdiler!$C$90-Girdiler!$C$20*Girdiler!$C$87)</f>
        <v/>
      </c>
      <c r="AA21" s="18">
        <f>IF('Zaman'!AA9&gt;0,1,0)*Girdiler!$C$42*(Girdiler!$C$90-Girdiler!$C$20*Girdiler!$C$87)</f>
        <v/>
      </c>
      <c r="AB21" s="18">
        <f>IF('Zaman'!AB9&gt;0,1,0)*Girdiler!$C$42*(Girdiler!$C$90-Girdiler!$C$20*Girdiler!$C$87)</f>
        <v/>
      </c>
      <c r="AC21" s="18">
        <f>IF('Zaman'!AC9&gt;0,1,0)*Girdiler!$C$42*(Girdiler!$C$90-Girdiler!$C$20*Girdiler!$C$87)</f>
        <v/>
      </c>
      <c r="AD21" s="18">
        <f>IF('Zaman'!AD9&gt;0,1,0)*Girdiler!$C$42*(Girdiler!$C$90-Girdiler!$C$20*Girdiler!$C$87)</f>
        <v/>
      </c>
      <c r="AE21" s="18">
        <f>IF('Zaman'!AE9&gt;0,1,0)*Girdiler!$C$42*(Girdiler!$C$90-Girdiler!$C$20*Girdiler!$C$87)</f>
        <v/>
      </c>
      <c r="AF21" s="18">
        <f>IF('Zaman'!AF9&gt;0,1,0)*Girdiler!$C$42*(Girdiler!$C$90-Girdiler!$C$20*Girdiler!$C$87)</f>
        <v/>
      </c>
      <c r="AG21" s="18">
        <f>IF('Zaman'!AG9&gt;0,1,0)*Girdiler!$C$42*(Girdiler!$C$90-Girdiler!$C$20*Girdiler!$C$87)</f>
        <v/>
      </c>
      <c r="AH21" s="18">
        <f>IF('Zaman'!AH9&gt;0,1,0)*Girdiler!$C$42*(Girdiler!$C$90-Girdiler!$C$20*Girdiler!$C$87)</f>
        <v/>
      </c>
      <c r="AI21" s="18">
        <f>IF('Zaman'!AI9&gt;0,1,0)*Girdiler!$C$42*(Girdiler!$C$90-Girdiler!$C$20*Girdiler!$C$87)</f>
        <v/>
      </c>
      <c r="AJ21" s="18">
        <f>IF('Zaman'!AJ9&gt;0,1,0)*Girdiler!$C$42*(Girdiler!$C$90-Girdiler!$C$20*Girdiler!$C$87)</f>
        <v/>
      </c>
      <c r="AK21" s="18">
        <f>IF('Zaman'!AK9&gt;0,1,0)*Girdiler!$C$42*(Girdiler!$C$90-Girdiler!$C$20*Girdiler!$C$87)</f>
        <v/>
      </c>
      <c r="AL21" s="18">
        <f>IF('Zaman'!AL9&gt;0,1,0)*Girdiler!$C$42*(Girdiler!$C$90-Girdiler!$C$20*Girdiler!$C$87)</f>
        <v/>
      </c>
      <c r="AM21" s="18">
        <f>IF('Zaman'!AM9&gt;0,1,0)*Girdiler!$C$42*(Girdiler!$C$90-Girdiler!$C$20*Girdiler!$C$87)</f>
        <v/>
      </c>
      <c r="AN21" s="18">
        <f>IF('Zaman'!AN9&gt;0,1,0)*Girdiler!$C$42*(Girdiler!$C$90-Girdiler!$C$20*Girdiler!$C$87)</f>
        <v/>
      </c>
      <c r="AO21" s="18">
        <f>IF('Zaman'!AO9&gt;0,1,0)*Girdiler!$C$42*(Girdiler!$C$90-Girdiler!$C$20*Girdiler!$C$87)</f>
        <v/>
      </c>
      <c r="AP21" s="18">
        <f>IF('Zaman'!AP9&gt;0,1,0)*Girdiler!$C$42*(Girdiler!$C$90-Girdiler!$C$20*Girdiler!$C$87)</f>
        <v/>
      </c>
      <c r="AQ21" s="18">
        <f>IF('Zaman'!AQ9&gt;0,1,0)*Girdiler!$C$42*(Girdiler!$C$90-Girdiler!$C$20*Girdiler!$C$87)</f>
        <v/>
      </c>
      <c r="AR21" s="18">
        <f>IF('Zaman'!AR9&gt;0,1,0)*Girdiler!$C$42*(Girdiler!$C$90-Girdiler!$C$20*Girdiler!$C$87)</f>
        <v/>
      </c>
    </row>
    <row r="22">
      <c r="A22" t="inlineStr">
        <is>
          <t>TEİAŞ bedelleri</t>
        </is>
      </c>
      <c r="B22" t="inlineStr">
        <is>
          <t>USD</t>
        </is>
      </c>
      <c r="C22" t="inlineStr"/>
      <c r="D22" s="18">
        <f>SUM(F22:AR22)</f>
        <v/>
      </c>
      <c r="E22" s="18" t="n">
        <v>0</v>
      </c>
      <c r="F22" s="18">
        <f>IF('Zaman'!F9&gt;0,1,0)*Girdiler!$C$43*Girdiler!$C$27+Girdiler!$C$44*'Uretim'!F35</f>
        <v/>
      </c>
      <c r="G22" s="18">
        <f>IF('Zaman'!G9&gt;0,1,0)*Girdiler!$C$43*Girdiler!$C$27+Girdiler!$C$44*'Uretim'!G35</f>
        <v/>
      </c>
      <c r="H22" s="18">
        <f>IF('Zaman'!H9&gt;0,1,0)*Girdiler!$C$43*Girdiler!$C$27+Girdiler!$C$44*'Uretim'!H35</f>
        <v/>
      </c>
      <c r="I22" s="18">
        <f>IF('Zaman'!I9&gt;0,1,0)*Girdiler!$C$43*Girdiler!$C$27+Girdiler!$C$44*'Uretim'!I35</f>
        <v/>
      </c>
      <c r="J22" s="18">
        <f>IF('Zaman'!J9&gt;0,1,0)*Girdiler!$C$43*Girdiler!$C$27+Girdiler!$C$44*'Uretim'!J35</f>
        <v/>
      </c>
      <c r="K22" s="18">
        <f>IF('Zaman'!K9&gt;0,1,0)*Girdiler!$C$43*Girdiler!$C$27+Girdiler!$C$44*'Uretim'!K35</f>
        <v/>
      </c>
      <c r="L22" s="18">
        <f>IF('Zaman'!L9&gt;0,1,0)*Girdiler!$C$43*Girdiler!$C$27+Girdiler!$C$44*'Uretim'!L35</f>
        <v/>
      </c>
      <c r="M22" s="18">
        <f>IF('Zaman'!M9&gt;0,1,0)*Girdiler!$C$43*Girdiler!$C$27+Girdiler!$C$44*'Uretim'!M35</f>
        <v/>
      </c>
      <c r="N22" s="18">
        <f>IF('Zaman'!N9&gt;0,1,0)*Girdiler!$C$43*Girdiler!$C$27+Girdiler!$C$44*'Uretim'!N35</f>
        <v/>
      </c>
      <c r="O22" s="18">
        <f>IF('Zaman'!O9&gt;0,1,0)*Girdiler!$C$43*Girdiler!$C$27+Girdiler!$C$44*'Uretim'!O35</f>
        <v/>
      </c>
      <c r="P22" s="18">
        <f>IF('Zaman'!P9&gt;0,1,0)*Girdiler!$C$43*Girdiler!$C$27+Girdiler!$C$44*'Uretim'!P35</f>
        <v/>
      </c>
      <c r="Q22" s="18">
        <f>IF('Zaman'!Q9&gt;0,1,0)*Girdiler!$C$43*Girdiler!$C$27+Girdiler!$C$44*'Uretim'!Q35</f>
        <v/>
      </c>
      <c r="R22" s="18">
        <f>IF('Zaman'!R9&gt;0,1,0)*Girdiler!$C$43*Girdiler!$C$27+Girdiler!$C$44*'Uretim'!R35</f>
        <v/>
      </c>
      <c r="S22" s="18">
        <f>IF('Zaman'!S9&gt;0,1,0)*Girdiler!$C$43*Girdiler!$C$27+Girdiler!$C$44*'Uretim'!S35</f>
        <v/>
      </c>
      <c r="T22" s="18">
        <f>IF('Zaman'!T9&gt;0,1,0)*Girdiler!$C$43*Girdiler!$C$27+Girdiler!$C$44*'Uretim'!T35</f>
        <v/>
      </c>
      <c r="U22" s="18">
        <f>IF('Zaman'!U9&gt;0,1,0)*Girdiler!$C$43*Girdiler!$C$27+Girdiler!$C$44*'Uretim'!U35</f>
        <v/>
      </c>
      <c r="V22" s="18">
        <f>IF('Zaman'!V9&gt;0,1,0)*Girdiler!$C$43*Girdiler!$C$27+Girdiler!$C$44*'Uretim'!V35</f>
        <v/>
      </c>
      <c r="W22" s="18">
        <f>IF('Zaman'!W9&gt;0,1,0)*Girdiler!$C$43*Girdiler!$C$27+Girdiler!$C$44*'Uretim'!W35</f>
        <v/>
      </c>
      <c r="X22" s="18">
        <f>IF('Zaman'!X9&gt;0,1,0)*Girdiler!$C$43*Girdiler!$C$27+Girdiler!$C$44*'Uretim'!X35</f>
        <v/>
      </c>
      <c r="Y22" s="18">
        <f>IF('Zaman'!Y9&gt;0,1,0)*Girdiler!$C$43*Girdiler!$C$27+Girdiler!$C$44*'Uretim'!Y35</f>
        <v/>
      </c>
      <c r="Z22" s="18">
        <f>IF('Zaman'!Z9&gt;0,1,0)*Girdiler!$C$43*Girdiler!$C$27+Girdiler!$C$44*'Uretim'!Z35</f>
        <v/>
      </c>
      <c r="AA22" s="18">
        <f>IF('Zaman'!AA9&gt;0,1,0)*Girdiler!$C$43*Girdiler!$C$27+Girdiler!$C$44*'Uretim'!AA35</f>
        <v/>
      </c>
      <c r="AB22" s="18">
        <f>IF('Zaman'!AB9&gt;0,1,0)*Girdiler!$C$43*Girdiler!$C$27+Girdiler!$C$44*'Uretim'!AB35</f>
        <v/>
      </c>
      <c r="AC22" s="18">
        <f>IF('Zaman'!AC9&gt;0,1,0)*Girdiler!$C$43*Girdiler!$C$27+Girdiler!$C$44*'Uretim'!AC35</f>
        <v/>
      </c>
      <c r="AD22" s="18">
        <f>IF('Zaman'!AD9&gt;0,1,0)*Girdiler!$C$43*Girdiler!$C$27+Girdiler!$C$44*'Uretim'!AD35</f>
        <v/>
      </c>
      <c r="AE22" s="18">
        <f>IF('Zaman'!AE9&gt;0,1,0)*Girdiler!$C$43*Girdiler!$C$27+Girdiler!$C$44*'Uretim'!AE35</f>
        <v/>
      </c>
      <c r="AF22" s="18">
        <f>IF('Zaman'!AF9&gt;0,1,0)*Girdiler!$C$43*Girdiler!$C$27+Girdiler!$C$44*'Uretim'!AF35</f>
        <v/>
      </c>
      <c r="AG22" s="18">
        <f>IF('Zaman'!AG9&gt;0,1,0)*Girdiler!$C$43*Girdiler!$C$27+Girdiler!$C$44*'Uretim'!AG35</f>
        <v/>
      </c>
      <c r="AH22" s="18">
        <f>IF('Zaman'!AH9&gt;0,1,0)*Girdiler!$C$43*Girdiler!$C$27+Girdiler!$C$44*'Uretim'!AH35</f>
        <v/>
      </c>
      <c r="AI22" s="18">
        <f>IF('Zaman'!AI9&gt;0,1,0)*Girdiler!$C$43*Girdiler!$C$27+Girdiler!$C$44*'Uretim'!AI35</f>
        <v/>
      </c>
      <c r="AJ22" s="18">
        <f>IF('Zaman'!AJ9&gt;0,1,0)*Girdiler!$C$43*Girdiler!$C$27+Girdiler!$C$44*'Uretim'!AJ35</f>
        <v/>
      </c>
      <c r="AK22" s="18">
        <f>IF('Zaman'!AK9&gt;0,1,0)*Girdiler!$C$43*Girdiler!$C$27+Girdiler!$C$44*'Uretim'!AK35</f>
        <v/>
      </c>
      <c r="AL22" s="18">
        <f>IF('Zaman'!AL9&gt;0,1,0)*Girdiler!$C$43*Girdiler!$C$27+Girdiler!$C$44*'Uretim'!AL35</f>
        <v/>
      </c>
      <c r="AM22" s="18">
        <f>IF('Zaman'!AM9&gt;0,1,0)*Girdiler!$C$43*Girdiler!$C$27+Girdiler!$C$44*'Uretim'!AM35</f>
        <v/>
      </c>
      <c r="AN22" s="18">
        <f>IF('Zaman'!AN9&gt;0,1,0)*Girdiler!$C$43*Girdiler!$C$27+Girdiler!$C$44*'Uretim'!AN35</f>
        <v/>
      </c>
      <c r="AO22" s="18">
        <f>IF('Zaman'!AO9&gt;0,1,0)*Girdiler!$C$43*Girdiler!$C$27+Girdiler!$C$44*'Uretim'!AO35</f>
        <v/>
      </c>
      <c r="AP22" s="18">
        <f>IF('Zaman'!AP9&gt;0,1,0)*Girdiler!$C$43*Girdiler!$C$27+Girdiler!$C$44*'Uretim'!AP35</f>
        <v/>
      </c>
      <c r="AQ22" s="18">
        <f>IF('Zaman'!AQ9&gt;0,1,0)*Girdiler!$C$43*Girdiler!$C$27+Girdiler!$C$44*'Uretim'!AQ35</f>
        <v/>
      </c>
      <c r="AR22" s="18">
        <f>IF('Zaman'!AR9&gt;0,1,0)*Girdiler!$C$43*Girdiler!$C$27+Girdiler!$C$44*'Uretim'!AR35</f>
        <v/>
      </c>
    </row>
    <row r="23">
      <c r="A23" t="inlineStr">
        <is>
          <t>Batarya yıpranması</t>
        </is>
      </c>
      <c r="B23" t="inlineStr">
        <is>
          <t>USD</t>
        </is>
      </c>
      <c r="C23" t="inlineStr"/>
      <c r="D23" s="18">
        <f>SUM(F23:AR23)</f>
        <v/>
      </c>
      <c r="E23" s="18" t="n">
        <v>0</v>
      </c>
      <c r="F23" s="18">
        <f>Girdiler!$C$45*'Uretim'!F26</f>
        <v/>
      </c>
      <c r="G23" s="18">
        <f>Girdiler!$C$45*'Uretim'!G26</f>
        <v/>
      </c>
      <c r="H23" s="18">
        <f>Girdiler!$C$45*'Uretim'!H26</f>
        <v/>
      </c>
      <c r="I23" s="18">
        <f>Girdiler!$C$45*'Uretim'!I26</f>
        <v/>
      </c>
      <c r="J23" s="18">
        <f>Girdiler!$C$45*'Uretim'!J26</f>
        <v/>
      </c>
      <c r="K23" s="18">
        <f>Girdiler!$C$45*'Uretim'!K26</f>
        <v/>
      </c>
      <c r="L23" s="18">
        <f>Girdiler!$C$45*'Uretim'!L26</f>
        <v/>
      </c>
      <c r="M23" s="18">
        <f>Girdiler!$C$45*'Uretim'!M26</f>
        <v/>
      </c>
      <c r="N23" s="18">
        <f>Girdiler!$C$45*'Uretim'!N26</f>
        <v/>
      </c>
      <c r="O23" s="18">
        <f>Girdiler!$C$45*'Uretim'!O26</f>
        <v/>
      </c>
      <c r="P23" s="18">
        <f>Girdiler!$C$45*'Uretim'!P26</f>
        <v/>
      </c>
      <c r="Q23" s="18">
        <f>Girdiler!$C$45*'Uretim'!Q26</f>
        <v/>
      </c>
      <c r="R23" s="18">
        <f>Girdiler!$C$45*'Uretim'!R26</f>
        <v/>
      </c>
      <c r="S23" s="18">
        <f>Girdiler!$C$45*'Uretim'!S26</f>
        <v/>
      </c>
      <c r="T23" s="18">
        <f>Girdiler!$C$45*'Uretim'!T26</f>
        <v/>
      </c>
      <c r="U23" s="18">
        <f>Girdiler!$C$45*'Uretim'!U26</f>
        <v/>
      </c>
      <c r="V23" s="18">
        <f>Girdiler!$C$45*'Uretim'!V26</f>
        <v/>
      </c>
      <c r="W23" s="18">
        <f>Girdiler!$C$45*'Uretim'!W26</f>
        <v/>
      </c>
      <c r="X23" s="18">
        <f>Girdiler!$C$45*'Uretim'!X26</f>
        <v/>
      </c>
      <c r="Y23" s="18">
        <f>Girdiler!$C$45*'Uretim'!Y26</f>
        <v/>
      </c>
      <c r="Z23" s="18">
        <f>Girdiler!$C$45*'Uretim'!Z26</f>
        <v/>
      </c>
      <c r="AA23" s="18">
        <f>Girdiler!$C$45*'Uretim'!AA26</f>
        <v/>
      </c>
      <c r="AB23" s="18">
        <f>Girdiler!$C$45*'Uretim'!AB26</f>
        <v/>
      </c>
      <c r="AC23" s="18">
        <f>Girdiler!$C$45*'Uretim'!AC26</f>
        <v/>
      </c>
      <c r="AD23" s="18">
        <f>Girdiler!$C$45*'Uretim'!AD26</f>
        <v/>
      </c>
      <c r="AE23" s="18">
        <f>Girdiler!$C$45*'Uretim'!AE26</f>
        <v/>
      </c>
      <c r="AF23" s="18">
        <f>Girdiler!$C$45*'Uretim'!AF26</f>
        <v/>
      </c>
      <c r="AG23" s="18">
        <f>Girdiler!$C$45*'Uretim'!AG26</f>
        <v/>
      </c>
      <c r="AH23" s="18">
        <f>Girdiler!$C$45*'Uretim'!AH26</f>
        <v/>
      </c>
      <c r="AI23" s="18">
        <f>Girdiler!$C$45*'Uretim'!AI26</f>
        <v/>
      </c>
      <c r="AJ23" s="18">
        <f>Girdiler!$C$45*'Uretim'!AJ26</f>
        <v/>
      </c>
      <c r="AK23" s="18">
        <f>Girdiler!$C$45*'Uretim'!AK26</f>
        <v/>
      </c>
      <c r="AL23" s="18">
        <f>Girdiler!$C$45*'Uretim'!AL26</f>
        <v/>
      </c>
      <c r="AM23" s="18">
        <f>Girdiler!$C$45*'Uretim'!AM26</f>
        <v/>
      </c>
      <c r="AN23" s="18">
        <f>Girdiler!$C$45*'Uretim'!AN26</f>
        <v/>
      </c>
      <c r="AO23" s="18">
        <f>Girdiler!$C$45*'Uretim'!AO26</f>
        <v/>
      </c>
      <c r="AP23" s="18">
        <f>Girdiler!$C$45*'Uretim'!AP26</f>
        <v/>
      </c>
      <c r="AQ23" s="18">
        <f>Girdiler!$C$45*'Uretim'!AQ26</f>
        <v/>
      </c>
      <c r="AR23" s="18">
        <f>Girdiler!$C$45*'Uretim'!AR26</f>
        <v/>
      </c>
    </row>
    <row r="24">
      <c r="A24" t="inlineStr">
        <is>
          <t>Toplam OPEX</t>
        </is>
      </c>
      <c r="B24" t="inlineStr">
        <is>
          <t>USD</t>
        </is>
      </c>
      <c r="C24" t="inlineStr"/>
      <c r="D24" s="18">
        <f>SUM(F24:AR24)</f>
        <v/>
      </c>
      <c r="E24" s="18" t="n">
        <v>0</v>
      </c>
      <c r="F24" s="18">
        <f>'OPEX'!F19+'OPEX'!F20+'OPEX'!F21+'OPEX'!F22+'OPEX'!F23</f>
        <v/>
      </c>
      <c r="G24" s="18">
        <f>'OPEX'!G19+'OPEX'!G20+'OPEX'!G21+'OPEX'!G22+'OPEX'!G23</f>
        <v/>
      </c>
      <c r="H24" s="18">
        <f>'OPEX'!H19+'OPEX'!H20+'OPEX'!H21+'OPEX'!H22+'OPEX'!H23</f>
        <v/>
      </c>
      <c r="I24" s="18">
        <f>'OPEX'!I19+'OPEX'!I20+'OPEX'!I21+'OPEX'!I22+'OPEX'!I23</f>
        <v/>
      </c>
      <c r="J24" s="18">
        <f>'OPEX'!J19+'OPEX'!J20+'OPEX'!J21+'OPEX'!J22+'OPEX'!J23</f>
        <v/>
      </c>
      <c r="K24" s="18">
        <f>'OPEX'!K19+'OPEX'!K20+'OPEX'!K21+'OPEX'!K22+'OPEX'!K23</f>
        <v/>
      </c>
      <c r="L24" s="18">
        <f>'OPEX'!L19+'OPEX'!L20+'OPEX'!L21+'OPEX'!L22+'OPEX'!L23</f>
        <v/>
      </c>
      <c r="M24" s="18">
        <f>'OPEX'!M19+'OPEX'!M20+'OPEX'!M21+'OPEX'!M22+'OPEX'!M23</f>
        <v/>
      </c>
      <c r="N24" s="18">
        <f>'OPEX'!N19+'OPEX'!N20+'OPEX'!N21+'OPEX'!N22+'OPEX'!N23</f>
        <v/>
      </c>
      <c r="O24" s="18">
        <f>'OPEX'!O19+'OPEX'!O20+'OPEX'!O21+'OPEX'!O22+'OPEX'!O23</f>
        <v/>
      </c>
      <c r="P24" s="18">
        <f>'OPEX'!P19+'OPEX'!P20+'OPEX'!P21+'OPEX'!P22+'OPEX'!P23</f>
        <v/>
      </c>
      <c r="Q24" s="18">
        <f>'OPEX'!Q19+'OPEX'!Q20+'OPEX'!Q21+'OPEX'!Q22+'OPEX'!Q23</f>
        <v/>
      </c>
      <c r="R24" s="18">
        <f>'OPEX'!R19+'OPEX'!R20+'OPEX'!R21+'OPEX'!R22+'OPEX'!R23</f>
        <v/>
      </c>
      <c r="S24" s="18">
        <f>'OPEX'!S19+'OPEX'!S20+'OPEX'!S21+'OPEX'!S22+'OPEX'!S23</f>
        <v/>
      </c>
      <c r="T24" s="18">
        <f>'OPEX'!T19+'OPEX'!T20+'OPEX'!T21+'OPEX'!T22+'OPEX'!T23</f>
        <v/>
      </c>
      <c r="U24" s="18">
        <f>'OPEX'!U19+'OPEX'!U20+'OPEX'!U21+'OPEX'!U22+'OPEX'!U23</f>
        <v/>
      </c>
      <c r="V24" s="18">
        <f>'OPEX'!V19+'OPEX'!V20+'OPEX'!V21+'OPEX'!V22+'OPEX'!V23</f>
        <v/>
      </c>
      <c r="W24" s="18">
        <f>'OPEX'!W19+'OPEX'!W20+'OPEX'!W21+'OPEX'!W22+'OPEX'!W23</f>
        <v/>
      </c>
      <c r="X24" s="18">
        <f>'OPEX'!X19+'OPEX'!X20+'OPEX'!X21+'OPEX'!X22+'OPEX'!X23</f>
        <v/>
      </c>
      <c r="Y24" s="18">
        <f>'OPEX'!Y19+'OPEX'!Y20+'OPEX'!Y21+'OPEX'!Y22+'OPEX'!Y23</f>
        <v/>
      </c>
      <c r="Z24" s="18">
        <f>'OPEX'!Z19+'OPEX'!Z20+'OPEX'!Z21+'OPEX'!Z22+'OPEX'!Z23</f>
        <v/>
      </c>
      <c r="AA24" s="18">
        <f>'OPEX'!AA19+'OPEX'!AA20+'OPEX'!AA21+'OPEX'!AA22+'OPEX'!AA23</f>
        <v/>
      </c>
      <c r="AB24" s="18">
        <f>'OPEX'!AB19+'OPEX'!AB20+'OPEX'!AB21+'OPEX'!AB22+'OPEX'!AB23</f>
        <v/>
      </c>
      <c r="AC24" s="18">
        <f>'OPEX'!AC19+'OPEX'!AC20+'OPEX'!AC21+'OPEX'!AC22+'OPEX'!AC23</f>
        <v/>
      </c>
      <c r="AD24" s="18">
        <f>'OPEX'!AD19+'OPEX'!AD20+'OPEX'!AD21+'OPEX'!AD22+'OPEX'!AD23</f>
        <v/>
      </c>
      <c r="AE24" s="18">
        <f>'OPEX'!AE19+'OPEX'!AE20+'OPEX'!AE21+'OPEX'!AE22+'OPEX'!AE23</f>
        <v/>
      </c>
      <c r="AF24" s="18">
        <f>'OPEX'!AF19+'OPEX'!AF20+'OPEX'!AF21+'OPEX'!AF22+'OPEX'!AF23</f>
        <v/>
      </c>
      <c r="AG24" s="18">
        <f>'OPEX'!AG19+'OPEX'!AG20+'OPEX'!AG21+'OPEX'!AG22+'OPEX'!AG23</f>
        <v/>
      </c>
      <c r="AH24" s="18">
        <f>'OPEX'!AH19+'OPEX'!AH20+'OPEX'!AH21+'OPEX'!AH22+'OPEX'!AH23</f>
        <v/>
      </c>
      <c r="AI24" s="18">
        <f>'OPEX'!AI19+'OPEX'!AI20+'OPEX'!AI21+'OPEX'!AI22+'OPEX'!AI23</f>
        <v/>
      </c>
      <c r="AJ24" s="18">
        <f>'OPEX'!AJ19+'OPEX'!AJ20+'OPEX'!AJ21+'OPEX'!AJ22+'OPEX'!AJ23</f>
        <v/>
      </c>
      <c r="AK24" s="18">
        <f>'OPEX'!AK19+'OPEX'!AK20+'OPEX'!AK21+'OPEX'!AK22+'OPEX'!AK23</f>
        <v/>
      </c>
      <c r="AL24" s="18">
        <f>'OPEX'!AL19+'OPEX'!AL20+'OPEX'!AL21+'OPEX'!AL22+'OPEX'!AL23</f>
        <v/>
      </c>
      <c r="AM24" s="18">
        <f>'OPEX'!AM19+'OPEX'!AM20+'OPEX'!AM21+'OPEX'!AM22+'OPEX'!AM23</f>
        <v/>
      </c>
      <c r="AN24" s="18">
        <f>'OPEX'!AN19+'OPEX'!AN20+'OPEX'!AN21+'OPEX'!AN22+'OPEX'!AN23</f>
        <v/>
      </c>
      <c r="AO24" s="18">
        <f>'OPEX'!AO19+'OPEX'!AO20+'OPEX'!AO21+'OPEX'!AO22+'OPEX'!AO23</f>
        <v/>
      </c>
      <c r="AP24" s="18">
        <f>'OPEX'!AP19+'OPEX'!AP20+'OPEX'!AP21+'OPEX'!AP22+'OPEX'!AP23</f>
        <v/>
      </c>
      <c r="AQ24" s="18">
        <f>'OPEX'!AQ19+'OPEX'!AQ20+'OPEX'!AQ21+'OPEX'!AQ22+'OPEX'!AQ23</f>
        <v/>
      </c>
      <c r="AR24" s="18">
        <f>'OPEX'!AR19+'OPEX'!AR20+'OPEX'!AR21+'OPEX'!AR22+'OPEX'!AR23</f>
        <v/>
      </c>
    </row>
    <row r="25">
      <c r="A25" t="inlineStr">
        <is>
          <t>FAVÖK</t>
        </is>
      </c>
      <c r="B25" t="inlineStr">
        <is>
          <t>USD</t>
        </is>
      </c>
      <c r="C25" t="inlineStr"/>
      <c r="D25" s="18">
        <f>SUM(F25:AR25)</f>
        <v/>
      </c>
      <c r="E25" s="18" t="n">
        <v>0</v>
      </c>
      <c r="F25" s="18">
        <f>'Gelir'!F25-'Gelir'!F24-'Gelir'!F23-'OPEX'!F24</f>
        <v/>
      </c>
      <c r="G25" s="18">
        <f>'Gelir'!G25-'Gelir'!G24-'Gelir'!G23-'OPEX'!G24</f>
        <v/>
      </c>
      <c r="H25" s="18">
        <f>'Gelir'!H25-'Gelir'!H24-'Gelir'!H23-'OPEX'!H24</f>
        <v/>
      </c>
      <c r="I25" s="18">
        <f>'Gelir'!I25-'Gelir'!I24-'Gelir'!I23-'OPEX'!I24</f>
        <v/>
      </c>
      <c r="J25" s="18">
        <f>'Gelir'!J25-'Gelir'!J24-'Gelir'!J23-'OPEX'!J24</f>
        <v/>
      </c>
      <c r="K25" s="18">
        <f>'Gelir'!K25-'Gelir'!K24-'Gelir'!K23-'OPEX'!K24</f>
        <v/>
      </c>
      <c r="L25" s="18">
        <f>'Gelir'!L25-'Gelir'!L24-'Gelir'!L23-'OPEX'!L24</f>
        <v/>
      </c>
      <c r="M25" s="18">
        <f>'Gelir'!M25-'Gelir'!M24-'Gelir'!M23-'OPEX'!M24</f>
        <v/>
      </c>
      <c r="N25" s="18">
        <f>'Gelir'!N25-'Gelir'!N24-'Gelir'!N23-'OPEX'!N24</f>
        <v/>
      </c>
      <c r="O25" s="18">
        <f>'Gelir'!O25-'Gelir'!O24-'Gelir'!O23-'OPEX'!O24</f>
        <v/>
      </c>
      <c r="P25" s="18">
        <f>'Gelir'!P25-'Gelir'!P24-'Gelir'!P23-'OPEX'!P24</f>
        <v/>
      </c>
      <c r="Q25" s="18">
        <f>'Gelir'!Q25-'Gelir'!Q24-'Gelir'!Q23-'OPEX'!Q24</f>
        <v/>
      </c>
      <c r="R25" s="18">
        <f>'Gelir'!R25-'Gelir'!R24-'Gelir'!R23-'OPEX'!R24</f>
        <v/>
      </c>
      <c r="S25" s="18">
        <f>'Gelir'!S25-'Gelir'!S24-'Gelir'!S23-'OPEX'!S24</f>
        <v/>
      </c>
      <c r="T25" s="18">
        <f>'Gelir'!T25-'Gelir'!T24-'Gelir'!T23-'OPEX'!T24</f>
        <v/>
      </c>
      <c r="U25" s="18">
        <f>'Gelir'!U25-'Gelir'!U24-'Gelir'!U23-'OPEX'!U24</f>
        <v/>
      </c>
      <c r="V25" s="18">
        <f>'Gelir'!V25-'Gelir'!V24-'Gelir'!V23-'OPEX'!V24</f>
        <v/>
      </c>
      <c r="W25" s="18">
        <f>'Gelir'!W25-'Gelir'!W24-'Gelir'!W23-'OPEX'!W24</f>
        <v/>
      </c>
      <c r="X25" s="18">
        <f>'Gelir'!X25-'Gelir'!X24-'Gelir'!X23-'OPEX'!X24</f>
        <v/>
      </c>
      <c r="Y25" s="18">
        <f>'Gelir'!Y25-'Gelir'!Y24-'Gelir'!Y23-'OPEX'!Y24</f>
        <v/>
      </c>
      <c r="Z25" s="18">
        <f>'Gelir'!Z25-'Gelir'!Z24-'Gelir'!Z23-'OPEX'!Z24</f>
        <v/>
      </c>
      <c r="AA25" s="18">
        <f>'Gelir'!AA25-'Gelir'!AA24-'Gelir'!AA23-'OPEX'!AA24</f>
        <v/>
      </c>
      <c r="AB25" s="18">
        <f>'Gelir'!AB25-'Gelir'!AB24-'Gelir'!AB23-'OPEX'!AB24</f>
        <v/>
      </c>
      <c r="AC25" s="18">
        <f>'Gelir'!AC25-'Gelir'!AC24-'Gelir'!AC23-'OPEX'!AC24</f>
        <v/>
      </c>
      <c r="AD25" s="18">
        <f>'Gelir'!AD25-'Gelir'!AD24-'Gelir'!AD23-'OPEX'!AD24</f>
        <v/>
      </c>
      <c r="AE25" s="18">
        <f>'Gelir'!AE25-'Gelir'!AE24-'Gelir'!AE23-'OPEX'!AE24</f>
        <v/>
      </c>
      <c r="AF25" s="18">
        <f>'Gelir'!AF25-'Gelir'!AF24-'Gelir'!AF23-'OPEX'!AF24</f>
        <v/>
      </c>
      <c r="AG25" s="18">
        <f>'Gelir'!AG25-'Gelir'!AG24-'Gelir'!AG23-'OPEX'!AG24</f>
        <v/>
      </c>
      <c r="AH25" s="18">
        <f>'Gelir'!AH25-'Gelir'!AH24-'Gelir'!AH23-'OPEX'!AH24</f>
        <v/>
      </c>
      <c r="AI25" s="18">
        <f>'Gelir'!AI25-'Gelir'!AI24-'Gelir'!AI23-'OPEX'!AI24</f>
        <v/>
      </c>
      <c r="AJ25" s="18">
        <f>'Gelir'!AJ25-'Gelir'!AJ24-'Gelir'!AJ23-'OPEX'!AJ24</f>
        <v/>
      </c>
      <c r="AK25" s="18">
        <f>'Gelir'!AK25-'Gelir'!AK24-'Gelir'!AK23-'OPEX'!AK24</f>
        <v/>
      </c>
      <c r="AL25" s="18">
        <f>'Gelir'!AL25-'Gelir'!AL24-'Gelir'!AL23-'OPEX'!AL24</f>
        <v/>
      </c>
      <c r="AM25" s="18">
        <f>'Gelir'!AM25-'Gelir'!AM24-'Gelir'!AM23-'OPEX'!AM24</f>
        <v/>
      </c>
      <c r="AN25" s="18">
        <f>'Gelir'!AN25-'Gelir'!AN24-'Gelir'!AN23-'OPEX'!AN24</f>
        <v/>
      </c>
      <c r="AO25" s="18">
        <f>'Gelir'!AO25-'Gelir'!AO24-'Gelir'!AO23-'OPEX'!AO24</f>
        <v/>
      </c>
      <c r="AP25" s="18">
        <f>'Gelir'!AP25-'Gelir'!AP24-'Gelir'!AP23-'OPEX'!AP24</f>
        <v/>
      </c>
      <c r="AQ25" s="18">
        <f>'Gelir'!AQ25-'Gelir'!AQ24-'Gelir'!AQ23-'OPEX'!AQ24</f>
        <v/>
      </c>
      <c r="AR25" s="18">
        <f>'Gelir'!AR25-'Gelir'!AR24-'Gelir'!AR23-'OPEX'!AR24</f>
        <v/>
      </c>
    </row>
    <row r="26">
      <c r="A26" t="inlineStr">
        <is>
          <t>Augmentation + batarya yenilemesi</t>
        </is>
      </c>
      <c r="B26" t="inlineStr">
        <is>
          <t>USD</t>
        </is>
      </c>
      <c r="C26" t="inlineStr"/>
      <c r="D26" s="18">
        <f>SUM(F26:AR26)</f>
        <v/>
      </c>
      <c r="E26" s="18" t="n">
        <v>0</v>
      </c>
      <c r="F26" s="18">
        <f>IF(OR('Zaman'!F9=8,'Zaman'!F9=16,'Zaman'!F9=28),Girdiler!$C$51*Girdiler!$C$26*Girdiler!$C$31*(1-Girdiler!$C$52)^'Zaman'!F9,0)+IF('Zaman'!F9=Girdiler!$C$53,Girdiler!$C$88*(1-Girdiler!$C$52)^Girdiler!$C$53,0)</f>
        <v/>
      </c>
      <c r="G26" s="18">
        <f>IF(OR('Zaman'!G9=8,'Zaman'!G9=16,'Zaman'!G9=28),Girdiler!$C$51*Girdiler!$C$26*Girdiler!$C$31*(1-Girdiler!$C$52)^'Zaman'!G9,0)+IF('Zaman'!G9=Girdiler!$C$53,Girdiler!$C$88*(1-Girdiler!$C$52)^Girdiler!$C$53,0)</f>
        <v/>
      </c>
      <c r="H26" s="18">
        <f>IF(OR('Zaman'!H9=8,'Zaman'!H9=16,'Zaman'!H9=28),Girdiler!$C$51*Girdiler!$C$26*Girdiler!$C$31*(1-Girdiler!$C$52)^'Zaman'!H9,0)+IF('Zaman'!H9=Girdiler!$C$53,Girdiler!$C$88*(1-Girdiler!$C$52)^Girdiler!$C$53,0)</f>
        <v/>
      </c>
      <c r="I26" s="18">
        <f>IF(OR('Zaman'!I9=8,'Zaman'!I9=16,'Zaman'!I9=28),Girdiler!$C$51*Girdiler!$C$26*Girdiler!$C$31*(1-Girdiler!$C$52)^'Zaman'!I9,0)+IF('Zaman'!I9=Girdiler!$C$53,Girdiler!$C$88*(1-Girdiler!$C$52)^Girdiler!$C$53,0)</f>
        <v/>
      </c>
      <c r="J26" s="18">
        <f>IF(OR('Zaman'!J9=8,'Zaman'!J9=16,'Zaman'!J9=28),Girdiler!$C$51*Girdiler!$C$26*Girdiler!$C$31*(1-Girdiler!$C$52)^'Zaman'!J9,0)+IF('Zaman'!J9=Girdiler!$C$53,Girdiler!$C$88*(1-Girdiler!$C$52)^Girdiler!$C$53,0)</f>
        <v/>
      </c>
      <c r="K26" s="18">
        <f>IF(OR('Zaman'!K9=8,'Zaman'!K9=16,'Zaman'!K9=28),Girdiler!$C$51*Girdiler!$C$26*Girdiler!$C$31*(1-Girdiler!$C$52)^'Zaman'!K9,0)+IF('Zaman'!K9=Girdiler!$C$53,Girdiler!$C$88*(1-Girdiler!$C$52)^Girdiler!$C$53,0)</f>
        <v/>
      </c>
      <c r="L26" s="18">
        <f>IF(OR('Zaman'!L9=8,'Zaman'!L9=16,'Zaman'!L9=28),Girdiler!$C$51*Girdiler!$C$26*Girdiler!$C$31*(1-Girdiler!$C$52)^'Zaman'!L9,0)+IF('Zaman'!L9=Girdiler!$C$53,Girdiler!$C$88*(1-Girdiler!$C$52)^Girdiler!$C$53,0)</f>
        <v/>
      </c>
      <c r="M26" s="18">
        <f>IF(OR('Zaman'!M9=8,'Zaman'!M9=16,'Zaman'!M9=28),Girdiler!$C$51*Girdiler!$C$26*Girdiler!$C$31*(1-Girdiler!$C$52)^'Zaman'!M9,0)+IF('Zaman'!M9=Girdiler!$C$53,Girdiler!$C$88*(1-Girdiler!$C$52)^Girdiler!$C$53,0)</f>
        <v/>
      </c>
      <c r="N26" s="18">
        <f>IF(OR('Zaman'!N9=8,'Zaman'!N9=16,'Zaman'!N9=28),Girdiler!$C$51*Girdiler!$C$26*Girdiler!$C$31*(1-Girdiler!$C$52)^'Zaman'!N9,0)+IF('Zaman'!N9=Girdiler!$C$53,Girdiler!$C$88*(1-Girdiler!$C$52)^Girdiler!$C$53,0)</f>
        <v/>
      </c>
      <c r="O26" s="18">
        <f>IF(OR('Zaman'!O9=8,'Zaman'!O9=16,'Zaman'!O9=28),Girdiler!$C$51*Girdiler!$C$26*Girdiler!$C$31*(1-Girdiler!$C$52)^'Zaman'!O9,0)+IF('Zaman'!O9=Girdiler!$C$53,Girdiler!$C$88*(1-Girdiler!$C$52)^Girdiler!$C$53,0)</f>
        <v/>
      </c>
      <c r="P26" s="18">
        <f>IF(OR('Zaman'!P9=8,'Zaman'!P9=16,'Zaman'!P9=28),Girdiler!$C$51*Girdiler!$C$26*Girdiler!$C$31*(1-Girdiler!$C$52)^'Zaman'!P9,0)+IF('Zaman'!P9=Girdiler!$C$53,Girdiler!$C$88*(1-Girdiler!$C$52)^Girdiler!$C$53,0)</f>
        <v/>
      </c>
      <c r="Q26" s="18">
        <f>IF(OR('Zaman'!Q9=8,'Zaman'!Q9=16,'Zaman'!Q9=28),Girdiler!$C$51*Girdiler!$C$26*Girdiler!$C$31*(1-Girdiler!$C$52)^'Zaman'!Q9,0)+IF('Zaman'!Q9=Girdiler!$C$53,Girdiler!$C$88*(1-Girdiler!$C$52)^Girdiler!$C$53,0)</f>
        <v/>
      </c>
      <c r="R26" s="18">
        <f>IF(OR('Zaman'!R9=8,'Zaman'!R9=16,'Zaman'!R9=28),Girdiler!$C$51*Girdiler!$C$26*Girdiler!$C$31*(1-Girdiler!$C$52)^'Zaman'!R9,0)+IF('Zaman'!R9=Girdiler!$C$53,Girdiler!$C$88*(1-Girdiler!$C$52)^Girdiler!$C$53,0)</f>
        <v/>
      </c>
      <c r="S26" s="18">
        <f>IF(OR('Zaman'!S9=8,'Zaman'!S9=16,'Zaman'!S9=28),Girdiler!$C$51*Girdiler!$C$26*Girdiler!$C$31*(1-Girdiler!$C$52)^'Zaman'!S9,0)+IF('Zaman'!S9=Girdiler!$C$53,Girdiler!$C$88*(1-Girdiler!$C$52)^Girdiler!$C$53,0)</f>
        <v/>
      </c>
      <c r="T26" s="18">
        <f>IF(OR('Zaman'!T9=8,'Zaman'!T9=16,'Zaman'!T9=28),Girdiler!$C$51*Girdiler!$C$26*Girdiler!$C$31*(1-Girdiler!$C$52)^'Zaman'!T9,0)+IF('Zaman'!T9=Girdiler!$C$53,Girdiler!$C$88*(1-Girdiler!$C$52)^Girdiler!$C$53,0)</f>
        <v/>
      </c>
      <c r="U26" s="18">
        <f>IF(OR('Zaman'!U9=8,'Zaman'!U9=16,'Zaman'!U9=28),Girdiler!$C$51*Girdiler!$C$26*Girdiler!$C$31*(1-Girdiler!$C$52)^'Zaman'!U9,0)+IF('Zaman'!U9=Girdiler!$C$53,Girdiler!$C$88*(1-Girdiler!$C$52)^Girdiler!$C$53,0)</f>
        <v/>
      </c>
      <c r="V26" s="18">
        <f>IF(OR('Zaman'!V9=8,'Zaman'!V9=16,'Zaman'!V9=28),Girdiler!$C$51*Girdiler!$C$26*Girdiler!$C$31*(1-Girdiler!$C$52)^'Zaman'!V9,0)+IF('Zaman'!V9=Girdiler!$C$53,Girdiler!$C$88*(1-Girdiler!$C$52)^Girdiler!$C$53,0)</f>
        <v/>
      </c>
      <c r="W26" s="18">
        <f>IF(OR('Zaman'!W9=8,'Zaman'!W9=16,'Zaman'!W9=28),Girdiler!$C$51*Girdiler!$C$26*Girdiler!$C$31*(1-Girdiler!$C$52)^'Zaman'!W9,0)+IF('Zaman'!W9=Girdiler!$C$53,Girdiler!$C$88*(1-Girdiler!$C$52)^Girdiler!$C$53,0)</f>
        <v/>
      </c>
      <c r="X26" s="18">
        <f>IF(OR('Zaman'!X9=8,'Zaman'!X9=16,'Zaman'!X9=28),Girdiler!$C$51*Girdiler!$C$26*Girdiler!$C$31*(1-Girdiler!$C$52)^'Zaman'!X9,0)+IF('Zaman'!X9=Girdiler!$C$53,Girdiler!$C$88*(1-Girdiler!$C$52)^Girdiler!$C$53,0)</f>
        <v/>
      </c>
      <c r="Y26" s="18">
        <f>IF(OR('Zaman'!Y9=8,'Zaman'!Y9=16,'Zaman'!Y9=28),Girdiler!$C$51*Girdiler!$C$26*Girdiler!$C$31*(1-Girdiler!$C$52)^'Zaman'!Y9,0)+IF('Zaman'!Y9=Girdiler!$C$53,Girdiler!$C$88*(1-Girdiler!$C$52)^Girdiler!$C$53,0)</f>
        <v/>
      </c>
      <c r="Z26" s="18">
        <f>IF(OR('Zaman'!Z9=8,'Zaman'!Z9=16,'Zaman'!Z9=28),Girdiler!$C$51*Girdiler!$C$26*Girdiler!$C$31*(1-Girdiler!$C$52)^'Zaman'!Z9,0)+IF('Zaman'!Z9=Girdiler!$C$53,Girdiler!$C$88*(1-Girdiler!$C$52)^Girdiler!$C$53,0)</f>
        <v/>
      </c>
      <c r="AA26" s="18">
        <f>IF(OR('Zaman'!AA9=8,'Zaman'!AA9=16,'Zaman'!AA9=28),Girdiler!$C$51*Girdiler!$C$26*Girdiler!$C$31*(1-Girdiler!$C$52)^'Zaman'!AA9,0)+IF('Zaman'!AA9=Girdiler!$C$53,Girdiler!$C$88*(1-Girdiler!$C$52)^Girdiler!$C$53,0)</f>
        <v/>
      </c>
      <c r="AB26" s="18">
        <f>IF(OR('Zaman'!AB9=8,'Zaman'!AB9=16,'Zaman'!AB9=28),Girdiler!$C$51*Girdiler!$C$26*Girdiler!$C$31*(1-Girdiler!$C$52)^'Zaman'!AB9,0)+IF('Zaman'!AB9=Girdiler!$C$53,Girdiler!$C$88*(1-Girdiler!$C$52)^Girdiler!$C$53,0)</f>
        <v/>
      </c>
      <c r="AC26" s="18">
        <f>IF(OR('Zaman'!AC9=8,'Zaman'!AC9=16,'Zaman'!AC9=28),Girdiler!$C$51*Girdiler!$C$26*Girdiler!$C$31*(1-Girdiler!$C$52)^'Zaman'!AC9,0)+IF('Zaman'!AC9=Girdiler!$C$53,Girdiler!$C$88*(1-Girdiler!$C$52)^Girdiler!$C$53,0)</f>
        <v/>
      </c>
      <c r="AD26" s="18">
        <f>IF(OR('Zaman'!AD9=8,'Zaman'!AD9=16,'Zaman'!AD9=28),Girdiler!$C$51*Girdiler!$C$26*Girdiler!$C$31*(1-Girdiler!$C$52)^'Zaman'!AD9,0)+IF('Zaman'!AD9=Girdiler!$C$53,Girdiler!$C$88*(1-Girdiler!$C$52)^Girdiler!$C$53,0)</f>
        <v/>
      </c>
      <c r="AE26" s="18">
        <f>IF(OR('Zaman'!AE9=8,'Zaman'!AE9=16,'Zaman'!AE9=28),Girdiler!$C$51*Girdiler!$C$26*Girdiler!$C$31*(1-Girdiler!$C$52)^'Zaman'!AE9,0)+IF('Zaman'!AE9=Girdiler!$C$53,Girdiler!$C$88*(1-Girdiler!$C$52)^Girdiler!$C$53,0)</f>
        <v/>
      </c>
      <c r="AF26" s="18">
        <f>IF(OR('Zaman'!AF9=8,'Zaman'!AF9=16,'Zaman'!AF9=28),Girdiler!$C$51*Girdiler!$C$26*Girdiler!$C$31*(1-Girdiler!$C$52)^'Zaman'!AF9,0)+IF('Zaman'!AF9=Girdiler!$C$53,Girdiler!$C$88*(1-Girdiler!$C$52)^Girdiler!$C$53,0)</f>
        <v/>
      </c>
      <c r="AG26" s="18">
        <f>IF(OR('Zaman'!AG9=8,'Zaman'!AG9=16,'Zaman'!AG9=28),Girdiler!$C$51*Girdiler!$C$26*Girdiler!$C$31*(1-Girdiler!$C$52)^'Zaman'!AG9,0)+IF('Zaman'!AG9=Girdiler!$C$53,Girdiler!$C$88*(1-Girdiler!$C$52)^Girdiler!$C$53,0)</f>
        <v/>
      </c>
      <c r="AH26" s="18">
        <f>IF(OR('Zaman'!AH9=8,'Zaman'!AH9=16,'Zaman'!AH9=28),Girdiler!$C$51*Girdiler!$C$26*Girdiler!$C$31*(1-Girdiler!$C$52)^'Zaman'!AH9,0)+IF('Zaman'!AH9=Girdiler!$C$53,Girdiler!$C$88*(1-Girdiler!$C$52)^Girdiler!$C$53,0)</f>
        <v/>
      </c>
      <c r="AI26" s="18">
        <f>IF(OR('Zaman'!AI9=8,'Zaman'!AI9=16,'Zaman'!AI9=28),Girdiler!$C$51*Girdiler!$C$26*Girdiler!$C$31*(1-Girdiler!$C$52)^'Zaman'!AI9,0)+IF('Zaman'!AI9=Girdiler!$C$53,Girdiler!$C$88*(1-Girdiler!$C$52)^Girdiler!$C$53,0)</f>
        <v/>
      </c>
      <c r="AJ26" s="18">
        <f>IF(OR('Zaman'!AJ9=8,'Zaman'!AJ9=16,'Zaman'!AJ9=28),Girdiler!$C$51*Girdiler!$C$26*Girdiler!$C$31*(1-Girdiler!$C$52)^'Zaman'!AJ9,0)+IF('Zaman'!AJ9=Girdiler!$C$53,Girdiler!$C$88*(1-Girdiler!$C$52)^Girdiler!$C$53,0)</f>
        <v/>
      </c>
      <c r="AK26" s="18">
        <f>IF(OR('Zaman'!AK9=8,'Zaman'!AK9=16,'Zaman'!AK9=28),Girdiler!$C$51*Girdiler!$C$26*Girdiler!$C$31*(1-Girdiler!$C$52)^'Zaman'!AK9,0)+IF('Zaman'!AK9=Girdiler!$C$53,Girdiler!$C$88*(1-Girdiler!$C$52)^Girdiler!$C$53,0)</f>
        <v/>
      </c>
      <c r="AL26" s="18">
        <f>IF(OR('Zaman'!AL9=8,'Zaman'!AL9=16,'Zaman'!AL9=28),Girdiler!$C$51*Girdiler!$C$26*Girdiler!$C$31*(1-Girdiler!$C$52)^'Zaman'!AL9,0)+IF('Zaman'!AL9=Girdiler!$C$53,Girdiler!$C$88*(1-Girdiler!$C$52)^Girdiler!$C$53,0)</f>
        <v/>
      </c>
      <c r="AM26" s="18">
        <f>IF(OR('Zaman'!AM9=8,'Zaman'!AM9=16,'Zaman'!AM9=28),Girdiler!$C$51*Girdiler!$C$26*Girdiler!$C$31*(1-Girdiler!$C$52)^'Zaman'!AM9,0)+IF('Zaman'!AM9=Girdiler!$C$53,Girdiler!$C$88*(1-Girdiler!$C$52)^Girdiler!$C$53,0)</f>
        <v/>
      </c>
      <c r="AN26" s="18">
        <f>IF(OR('Zaman'!AN9=8,'Zaman'!AN9=16,'Zaman'!AN9=28),Girdiler!$C$51*Girdiler!$C$26*Girdiler!$C$31*(1-Girdiler!$C$52)^'Zaman'!AN9,0)+IF('Zaman'!AN9=Girdiler!$C$53,Girdiler!$C$88*(1-Girdiler!$C$52)^Girdiler!$C$53,0)</f>
        <v/>
      </c>
      <c r="AO26" s="18">
        <f>IF(OR('Zaman'!AO9=8,'Zaman'!AO9=16,'Zaman'!AO9=28),Girdiler!$C$51*Girdiler!$C$26*Girdiler!$C$31*(1-Girdiler!$C$52)^'Zaman'!AO9,0)+IF('Zaman'!AO9=Girdiler!$C$53,Girdiler!$C$88*(1-Girdiler!$C$52)^Girdiler!$C$53,0)</f>
        <v/>
      </c>
      <c r="AP26" s="18">
        <f>IF(OR('Zaman'!AP9=8,'Zaman'!AP9=16,'Zaman'!AP9=28),Girdiler!$C$51*Girdiler!$C$26*Girdiler!$C$31*(1-Girdiler!$C$52)^'Zaman'!AP9,0)+IF('Zaman'!AP9=Girdiler!$C$53,Girdiler!$C$88*(1-Girdiler!$C$52)^Girdiler!$C$53,0)</f>
        <v/>
      </c>
      <c r="AQ26" s="18">
        <f>IF(OR('Zaman'!AQ9=8,'Zaman'!AQ9=16,'Zaman'!AQ9=28),Girdiler!$C$51*Girdiler!$C$26*Girdiler!$C$31*(1-Girdiler!$C$52)^'Zaman'!AQ9,0)+IF('Zaman'!AQ9=Girdiler!$C$53,Girdiler!$C$88*(1-Girdiler!$C$52)^Girdiler!$C$53,0)</f>
        <v/>
      </c>
      <c r="AR26" s="18">
        <f>IF(OR('Zaman'!AR9=8,'Zaman'!AR9=16,'Zaman'!AR9=28),Girdiler!$C$51*Girdiler!$C$26*Girdiler!$C$31*(1-Girdiler!$C$52)^'Zaman'!AR9,0)+IF('Zaman'!AR9=Girdiler!$C$53,Girdiler!$C$88*(1-Girdiler!$C$52)^Girdiler!$C$53,0)</f>
        <v/>
      </c>
    </row>
    <row r="27">
      <c r="A27" t="inlineStr">
        <is>
          <t>Söküm (son işletme yılı)</t>
        </is>
      </c>
      <c r="B27" t="inlineStr">
        <is>
          <t>USD</t>
        </is>
      </c>
      <c r="C27" t="inlineStr"/>
      <c r="D27" s="18">
        <f>SUM(F27:AR27)</f>
        <v/>
      </c>
      <c r="E27" s="18" t="n">
        <v>0</v>
      </c>
      <c r="F27" s="18">
        <f>IF('Zaman'!F9=Girdiler!$C$36,Girdiler!$C$54*Girdiler!$C$26+Girdiler!$C$55*Girdiler!$C$24,0)</f>
        <v/>
      </c>
      <c r="G27" s="18">
        <f>IF('Zaman'!G9=Girdiler!$C$36,Girdiler!$C$54*Girdiler!$C$26+Girdiler!$C$55*Girdiler!$C$24,0)</f>
        <v/>
      </c>
      <c r="H27" s="18">
        <f>IF('Zaman'!H9=Girdiler!$C$36,Girdiler!$C$54*Girdiler!$C$26+Girdiler!$C$55*Girdiler!$C$24,0)</f>
        <v/>
      </c>
      <c r="I27" s="18">
        <f>IF('Zaman'!I9=Girdiler!$C$36,Girdiler!$C$54*Girdiler!$C$26+Girdiler!$C$55*Girdiler!$C$24,0)</f>
        <v/>
      </c>
      <c r="J27" s="18">
        <f>IF('Zaman'!J9=Girdiler!$C$36,Girdiler!$C$54*Girdiler!$C$26+Girdiler!$C$55*Girdiler!$C$24,0)</f>
        <v/>
      </c>
      <c r="K27" s="18">
        <f>IF('Zaman'!K9=Girdiler!$C$36,Girdiler!$C$54*Girdiler!$C$26+Girdiler!$C$55*Girdiler!$C$24,0)</f>
        <v/>
      </c>
      <c r="L27" s="18">
        <f>IF('Zaman'!L9=Girdiler!$C$36,Girdiler!$C$54*Girdiler!$C$26+Girdiler!$C$55*Girdiler!$C$24,0)</f>
        <v/>
      </c>
      <c r="M27" s="18">
        <f>IF('Zaman'!M9=Girdiler!$C$36,Girdiler!$C$54*Girdiler!$C$26+Girdiler!$C$55*Girdiler!$C$24,0)</f>
        <v/>
      </c>
      <c r="N27" s="18">
        <f>IF('Zaman'!N9=Girdiler!$C$36,Girdiler!$C$54*Girdiler!$C$26+Girdiler!$C$55*Girdiler!$C$24,0)</f>
        <v/>
      </c>
      <c r="O27" s="18">
        <f>IF('Zaman'!O9=Girdiler!$C$36,Girdiler!$C$54*Girdiler!$C$26+Girdiler!$C$55*Girdiler!$C$24,0)</f>
        <v/>
      </c>
      <c r="P27" s="18">
        <f>IF('Zaman'!P9=Girdiler!$C$36,Girdiler!$C$54*Girdiler!$C$26+Girdiler!$C$55*Girdiler!$C$24,0)</f>
        <v/>
      </c>
      <c r="Q27" s="18">
        <f>IF('Zaman'!Q9=Girdiler!$C$36,Girdiler!$C$54*Girdiler!$C$26+Girdiler!$C$55*Girdiler!$C$24,0)</f>
        <v/>
      </c>
      <c r="R27" s="18">
        <f>IF('Zaman'!R9=Girdiler!$C$36,Girdiler!$C$54*Girdiler!$C$26+Girdiler!$C$55*Girdiler!$C$24,0)</f>
        <v/>
      </c>
      <c r="S27" s="18">
        <f>IF('Zaman'!S9=Girdiler!$C$36,Girdiler!$C$54*Girdiler!$C$26+Girdiler!$C$55*Girdiler!$C$24,0)</f>
        <v/>
      </c>
      <c r="T27" s="18">
        <f>IF('Zaman'!T9=Girdiler!$C$36,Girdiler!$C$54*Girdiler!$C$26+Girdiler!$C$55*Girdiler!$C$24,0)</f>
        <v/>
      </c>
      <c r="U27" s="18">
        <f>IF('Zaman'!U9=Girdiler!$C$36,Girdiler!$C$54*Girdiler!$C$26+Girdiler!$C$55*Girdiler!$C$24,0)</f>
        <v/>
      </c>
      <c r="V27" s="18">
        <f>IF('Zaman'!V9=Girdiler!$C$36,Girdiler!$C$54*Girdiler!$C$26+Girdiler!$C$55*Girdiler!$C$24,0)</f>
        <v/>
      </c>
      <c r="W27" s="18">
        <f>IF('Zaman'!W9=Girdiler!$C$36,Girdiler!$C$54*Girdiler!$C$26+Girdiler!$C$55*Girdiler!$C$24,0)</f>
        <v/>
      </c>
      <c r="X27" s="18">
        <f>IF('Zaman'!X9=Girdiler!$C$36,Girdiler!$C$54*Girdiler!$C$26+Girdiler!$C$55*Girdiler!$C$24,0)</f>
        <v/>
      </c>
      <c r="Y27" s="18">
        <f>IF('Zaman'!Y9=Girdiler!$C$36,Girdiler!$C$54*Girdiler!$C$26+Girdiler!$C$55*Girdiler!$C$24,0)</f>
        <v/>
      </c>
      <c r="Z27" s="18">
        <f>IF('Zaman'!Z9=Girdiler!$C$36,Girdiler!$C$54*Girdiler!$C$26+Girdiler!$C$55*Girdiler!$C$24,0)</f>
        <v/>
      </c>
      <c r="AA27" s="18">
        <f>IF('Zaman'!AA9=Girdiler!$C$36,Girdiler!$C$54*Girdiler!$C$26+Girdiler!$C$55*Girdiler!$C$24,0)</f>
        <v/>
      </c>
      <c r="AB27" s="18">
        <f>IF('Zaman'!AB9=Girdiler!$C$36,Girdiler!$C$54*Girdiler!$C$26+Girdiler!$C$55*Girdiler!$C$24,0)</f>
        <v/>
      </c>
      <c r="AC27" s="18">
        <f>IF('Zaman'!AC9=Girdiler!$C$36,Girdiler!$C$54*Girdiler!$C$26+Girdiler!$C$55*Girdiler!$C$24,0)</f>
        <v/>
      </c>
      <c r="AD27" s="18">
        <f>IF('Zaman'!AD9=Girdiler!$C$36,Girdiler!$C$54*Girdiler!$C$26+Girdiler!$C$55*Girdiler!$C$24,0)</f>
        <v/>
      </c>
      <c r="AE27" s="18">
        <f>IF('Zaman'!AE9=Girdiler!$C$36,Girdiler!$C$54*Girdiler!$C$26+Girdiler!$C$55*Girdiler!$C$24,0)</f>
        <v/>
      </c>
      <c r="AF27" s="18">
        <f>IF('Zaman'!AF9=Girdiler!$C$36,Girdiler!$C$54*Girdiler!$C$26+Girdiler!$C$55*Girdiler!$C$24,0)</f>
        <v/>
      </c>
      <c r="AG27" s="18">
        <f>IF('Zaman'!AG9=Girdiler!$C$36,Girdiler!$C$54*Girdiler!$C$26+Girdiler!$C$55*Girdiler!$C$24,0)</f>
        <v/>
      </c>
      <c r="AH27" s="18">
        <f>IF('Zaman'!AH9=Girdiler!$C$36,Girdiler!$C$54*Girdiler!$C$26+Girdiler!$C$55*Girdiler!$C$24,0)</f>
        <v/>
      </c>
      <c r="AI27" s="18">
        <f>IF('Zaman'!AI9=Girdiler!$C$36,Girdiler!$C$54*Girdiler!$C$26+Girdiler!$C$55*Girdiler!$C$24,0)</f>
        <v/>
      </c>
      <c r="AJ27" s="18">
        <f>IF('Zaman'!AJ9=Girdiler!$C$36,Girdiler!$C$54*Girdiler!$C$26+Girdiler!$C$55*Girdiler!$C$24,0)</f>
        <v/>
      </c>
      <c r="AK27" s="18">
        <f>IF('Zaman'!AK9=Girdiler!$C$36,Girdiler!$C$54*Girdiler!$C$26+Girdiler!$C$55*Girdiler!$C$24,0)</f>
        <v/>
      </c>
      <c r="AL27" s="18">
        <f>IF('Zaman'!AL9=Girdiler!$C$36,Girdiler!$C$54*Girdiler!$C$26+Girdiler!$C$55*Girdiler!$C$24,0)</f>
        <v/>
      </c>
      <c r="AM27" s="18">
        <f>IF('Zaman'!AM9=Girdiler!$C$36,Girdiler!$C$54*Girdiler!$C$26+Girdiler!$C$55*Girdiler!$C$24,0)</f>
        <v/>
      </c>
      <c r="AN27" s="18">
        <f>IF('Zaman'!AN9=Girdiler!$C$36,Girdiler!$C$54*Girdiler!$C$26+Girdiler!$C$55*Girdiler!$C$24,0)</f>
        <v/>
      </c>
      <c r="AO27" s="18">
        <f>IF('Zaman'!AO9=Girdiler!$C$36,Girdiler!$C$54*Girdiler!$C$26+Girdiler!$C$55*Girdiler!$C$24,0)</f>
        <v/>
      </c>
      <c r="AP27" s="18">
        <f>IF('Zaman'!AP9=Girdiler!$C$36,Girdiler!$C$54*Girdiler!$C$26+Girdiler!$C$55*Girdiler!$C$24,0)</f>
        <v/>
      </c>
      <c r="AQ27" s="18">
        <f>IF('Zaman'!AQ9=Girdiler!$C$36,Girdiler!$C$54*Girdiler!$C$26+Girdiler!$C$55*Girdiler!$C$24,0)</f>
        <v/>
      </c>
      <c r="AR27" s="18">
        <f>IF('Zaman'!AR9=Girdiler!$C$36,Girdiler!$C$54*Girdiler!$C$26+Girdiler!$C$55*Girdiler!$C$24,0)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9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40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9" t="inlineStr">
        <is>
          <t>Amortisman, zarar mahsubu, vergi ve KDV</t>
        </is>
      </c>
    </row>
    <row r="2"/>
    <row r="3"/>
    <row r="4">
      <c r="A4" s="8" t="inlineStr">
        <is>
          <t>Kalem</t>
        </is>
      </c>
      <c r="B4" s="8" t="inlineStr">
        <is>
          <t>Birim</t>
        </is>
      </c>
      <c r="C4" s="8" t="inlineStr">
        <is>
          <t>Not / kaynak</t>
        </is>
      </c>
      <c r="D4" s="8" t="inlineStr">
        <is>
          <t>Toplam / değer</t>
        </is>
      </c>
      <c r="E4" s="8" t="inlineStr">
        <is>
          <t>t0 (bugün)</t>
        </is>
      </c>
      <c r="F4" s="8" t="n">
        <v>2026</v>
      </c>
      <c r="G4" s="8" t="n">
        <v>2027</v>
      </c>
      <c r="H4" s="8" t="n">
        <v>2028</v>
      </c>
      <c r="I4" s="8" t="n">
        <v>2029</v>
      </c>
      <c r="J4" s="8" t="n">
        <v>2030</v>
      </c>
      <c r="K4" s="8" t="n">
        <v>2031</v>
      </c>
      <c r="L4" s="8" t="n">
        <v>2032</v>
      </c>
      <c r="M4" s="8" t="n">
        <v>2033</v>
      </c>
      <c r="N4" s="8" t="n">
        <v>2034</v>
      </c>
      <c r="O4" s="8" t="n">
        <v>2035</v>
      </c>
      <c r="P4" s="8" t="n">
        <v>2036</v>
      </c>
      <c r="Q4" s="8" t="n">
        <v>2037</v>
      </c>
      <c r="R4" s="8" t="n">
        <v>2038</v>
      </c>
      <c r="S4" s="8" t="n">
        <v>2039</v>
      </c>
      <c r="T4" s="8" t="n">
        <v>2040</v>
      </c>
      <c r="U4" s="8" t="n">
        <v>2041</v>
      </c>
      <c r="V4" s="8" t="n">
        <v>2042</v>
      </c>
      <c r="W4" s="8" t="n">
        <v>2043</v>
      </c>
      <c r="X4" s="8" t="n">
        <v>2044</v>
      </c>
      <c r="Y4" s="8" t="n">
        <v>2045</v>
      </c>
      <c r="Z4" s="8" t="n">
        <v>2046</v>
      </c>
      <c r="AA4" s="8" t="n">
        <v>2047</v>
      </c>
      <c r="AB4" s="8" t="n">
        <v>2048</v>
      </c>
      <c r="AC4" s="8" t="n">
        <v>2049</v>
      </c>
      <c r="AD4" s="8" t="n">
        <v>2050</v>
      </c>
      <c r="AE4" s="8" t="n">
        <v>2051</v>
      </c>
      <c r="AF4" s="8" t="n">
        <v>2052</v>
      </c>
      <c r="AG4" s="8" t="n">
        <v>2053</v>
      </c>
      <c r="AH4" s="8" t="n">
        <v>2054</v>
      </c>
      <c r="AI4" s="8" t="n">
        <v>2055</v>
      </c>
      <c r="AJ4" s="8" t="n">
        <v>2056</v>
      </c>
      <c r="AK4" s="8" t="n">
        <v>2057</v>
      </c>
      <c r="AL4" s="8" t="n">
        <v>2058</v>
      </c>
      <c r="AM4" s="8" t="n">
        <v>2059</v>
      </c>
      <c r="AN4" s="8" t="n">
        <v>2060</v>
      </c>
      <c r="AO4" s="8" t="n">
        <v>2061</v>
      </c>
      <c r="AP4" s="8" t="n">
        <v>2062</v>
      </c>
      <c r="AQ4" s="8" t="n">
        <v>2063</v>
      </c>
      <c r="AR4" s="8" t="n">
        <v>2064</v>
      </c>
    </row>
    <row r="5"/>
    <row r="6"/>
    <row r="7">
      <c r="A7" s="26" t="inlineStr">
        <is>
          <t>— Blok: seçilen üretim durumu —</t>
        </is>
      </c>
    </row>
    <row r="8">
      <c r="A8" t="inlineStr">
        <is>
          <t>Amortisman (10 yıl doğrusal)</t>
        </is>
      </c>
      <c r="B8" t="inlineStr">
        <is>
          <t>USD</t>
        </is>
      </c>
      <c r="C8" t="inlineStr"/>
      <c r="D8" s="18">
        <f>SUM(F8:AR8)</f>
        <v/>
      </c>
      <c r="E8" s="18" t="n">
        <v>0</v>
      </c>
      <c r="F8" s="18">
        <f>IF(AND('Zaman'!F9&gt;=1,'Zaman'!F9&lt;=Girdiler!$C$75),Girdiler!$C$90/Girdiler!$C$75,0)</f>
        <v/>
      </c>
      <c r="G8" s="18">
        <f>IF(AND('Zaman'!G9&gt;=1,'Zaman'!G9&lt;=Girdiler!$C$75),Girdiler!$C$90/Girdiler!$C$75,0)</f>
        <v/>
      </c>
      <c r="H8" s="18">
        <f>IF(AND('Zaman'!H9&gt;=1,'Zaman'!H9&lt;=Girdiler!$C$75),Girdiler!$C$90/Girdiler!$C$75,0)</f>
        <v/>
      </c>
      <c r="I8" s="18">
        <f>IF(AND('Zaman'!I9&gt;=1,'Zaman'!I9&lt;=Girdiler!$C$75),Girdiler!$C$90/Girdiler!$C$75,0)</f>
        <v/>
      </c>
      <c r="J8" s="18">
        <f>IF(AND('Zaman'!J9&gt;=1,'Zaman'!J9&lt;=Girdiler!$C$75),Girdiler!$C$90/Girdiler!$C$75,0)</f>
        <v/>
      </c>
      <c r="K8" s="18">
        <f>IF(AND('Zaman'!K9&gt;=1,'Zaman'!K9&lt;=Girdiler!$C$75),Girdiler!$C$90/Girdiler!$C$75,0)</f>
        <v/>
      </c>
      <c r="L8" s="18">
        <f>IF(AND('Zaman'!L9&gt;=1,'Zaman'!L9&lt;=Girdiler!$C$75),Girdiler!$C$90/Girdiler!$C$75,0)</f>
        <v/>
      </c>
      <c r="M8" s="18">
        <f>IF(AND('Zaman'!M9&gt;=1,'Zaman'!M9&lt;=Girdiler!$C$75),Girdiler!$C$90/Girdiler!$C$75,0)</f>
        <v/>
      </c>
      <c r="N8" s="18">
        <f>IF(AND('Zaman'!N9&gt;=1,'Zaman'!N9&lt;=Girdiler!$C$75),Girdiler!$C$90/Girdiler!$C$75,0)</f>
        <v/>
      </c>
      <c r="O8" s="18">
        <f>IF(AND('Zaman'!O9&gt;=1,'Zaman'!O9&lt;=Girdiler!$C$75),Girdiler!$C$90/Girdiler!$C$75,0)</f>
        <v/>
      </c>
      <c r="P8" s="18">
        <f>IF(AND('Zaman'!P9&gt;=1,'Zaman'!P9&lt;=Girdiler!$C$75),Girdiler!$C$90/Girdiler!$C$75,0)</f>
        <v/>
      </c>
      <c r="Q8" s="18">
        <f>IF(AND('Zaman'!Q9&gt;=1,'Zaman'!Q9&lt;=Girdiler!$C$75),Girdiler!$C$90/Girdiler!$C$75,0)</f>
        <v/>
      </c>
      <c r="R8" s="18">
        <f>IF(AND('Zaman'!R9&gt;=1,'Zaman'!R9&lt;=Girdiler!$C$75),Girdiler!$C$90/Girdiler!$C$75,0)</f>
        <v/>
      </c>
      <c r="S8" s="18">
        <f>IF(AND('Zaman'!S9&gt;=1,'Zaman'!S9&lt;=Girdiler!$C$75),Girdiler!$C$90/Girdiler!$C$75,0)</f>
        <v/>
      </c>
      <c r="T8" s="18">
        <f>IF(AND('Zaman'!T9&gt;=1,'Zaman'!T9&lt;=Girdiler!$C$75),Girdiler!$C$90/Girdiler!$C$75,0)</f>
        <v/>
      </c>
      <c r="U8" s="18">
        <f>IF(AND('Zaman'!U9&gt;=1,'Zaman'!U9&lt;=Girdiler!$C$75),Girdiler!$C$90/Girdiler!$C$75,0)</f>
        <v/>
      </c>
      <c r="V8" s="18">
        <f>IF(AND('Zaman'!V9&gt;=1,'Zaman'!V9&lt;=Girdiler!$C$75),Girdiler!$C$90/Girdiler!$C$75,0)</f>
        <v/>
      </c>
      <c r="W8" s="18">
        <f>IF(AND('Zaman'!W9&gt;=1,'Zaman'!W9&lt;=Girdiler!$C$75),Girdiler!$C$90/Girdiler!$C$75,0)</f>
        <v/>
      </c>
      <c r="X8" s="18">
        <f>IF(AND('Zaman'!X9&gt;=1,'Zaman'!X9&lt;=Girdiler!$C$75),Girdiler!$C$90/Girdiler!$C$75,0)</f>
        <v/>
      </c>
      <c r="Y8" s="18">
        <f>IF(AND('Zaman'!Y9&gt;=1,'Zaman'!Y9&lt;=Girdiler!$C$75),Girdiler!$C$90/Girdiler!$C$75,0)</f>
        <v/>
      </c>
      <c r="Z8" s="18">
        <f>IF(AND('Zaman'!Z9&gt;=1,'Zaman'!Z9&lt;=Girdiler!$C$75),Girdiler!$C$90/Girdiler!$C$75,0)</f>
        <v/>
      </c>
      <c r="AA8" s="18">
        <f>IF(AND('Zaman'!AA9&gt;=1,'Zaman'!AA9&lt;=Girdiler!$C$75),Girdiler!$C$90/Girdiler!$C$75,0)</f>
        <v/>
      </c>
      <c r="AB8" s="18">
        <f>IF(AND('Zaman'!AB9&gt;=1,'Zaman'!AB9&lt;=Girdiler!$C$75),Girdiler!$C$90/Girdiler!$C$75,0)</f>
        <v/>
      </c>
      <c r="AC8" s="18">
        <f>IF(AND('Zaman'!AC9&gt;=1,'Zaman'!AC9&lt;=Girdiler!$C$75),Girdiler!$C$90/Girdiler!$C$75,0)</f>
        <v/>
      </c>
      <c r="AD8" s="18">
        <f>IF(AND('Zaman'!AD9&gt;=1,'Zaman'!AD9&lt;=Girdiler!$C$75),Girdiler!$C$90/Girdiler!$C$75,0)</f>
        <v/>
      </c>
      <c r="AE8" s="18">
        <f>IF(AND('Zaman'!AE9&gt;=1,'Zaman'!AE9&lt;=Girdiler!$C$75),Girdiler!$C$90/Girdiler!$C$75,0)</f>
        <v/>
      </c>
      <c r="AF8" s="18">
        <f>IF(AND('Zaman'!AF9&gt;=1,'Zaman'!AF9&lt;=Girdiler!$C$75),Girdiler!$C$90/Girdiler!$C$75,0)</f>
        <v/>
      </c>
      <c r="AG8" s="18">
        <f>IF(AND('Zaman'!AG9&gt;=1,'Zaman'!AG9&lt;=Girdiler!$C$75),Girdiler!$C$90/Girdiler!$C$75,0)</f>
        <v/>
      </c>
      <c r="AH8" s="18">
        <f>IF(AND('Zaman'!AH9&gt;=1,'Zaman'!AH9&lt;=Girdiler!$C$75),Girdiler!$C$90/Girdiler!$C$75,0)</f>
        <v/>
      </c>
      <c r="AI8" s="18">
        <f>IF(AND('Zaman'!AI9&gt;=1,'Zaman'!AI9&lt;=Girdiler!$C$75),Girdiler!$C$90/Girdiler!$C$75,0)</f>
        <v/>
      </c>
      <c r="AJ8" s="18">
        <f>IF(AND('Zaman'!AJ9&gt;=1,'Zaman'!AJ9&lt;=Girdiler!$C$75),Girdiler!$C$90/Girdiler!$C$75,0)</f>
        <v/>
      </c>
      <c r="AK8" s="18">
        <f>IF(AND('Zaman'!AK9&gt;=1,'Zaman'!AK9&lt;=Girdiler!$C$75),Girdiler!$C$90/Girdiler!$C$75,0)</f>
        <v/>
      </c>
      <c r="AL8" s="18">
        <f>IF(AND('Zaman'!AL9&gt;=1,'Zaman'!AL9&lt;=Girdiler!$C$75),Girdiler!$C$90/Girdiler!$C$75,0)</f>
        <v/>
      </c>
      <c r="AM8" s="18">
        <f>IF(AND('Zaman'!AM9&gt;=1,'Zaman'!AM9&lt;=Girdiler!$C$75),Girdiler!$C$90/Girdiler!$C$75,0)</f>
        <v/>
      </c>
      <c r="AN8" s="18">
        <f>IF(AND('Zaman'!AN9&gt;=1,'Zaman'!AN9&lt;=Girdiler!$C$75),Girdiler!$C$90/Girdiler!$C$75,0)</f>
        <v/>
      </c>
      <c r="AO8" s="18">
        <f>IF(AND('Zaman'!AO9&gt;=1,'Zaman'!AO9&lt;=Girdiler!$C$75),Girdiler!$C$90/Girdiler!$C$75,0)</f>
        <v/>
      </c>
      <c r="AP8" s="18">
        <f>IF(AND('Zaman'!AP9&gt;=1,'Zaman'!AP9&lt;=Girdiler!$C$75),Girdiler!$C$90/Girdiler!$C$75,0)</f>
        <v/>
      </c>
      <c r="AQ8" s="18">
        <f>IF(AND('Zaman'!AQ9&gt;=1,'Zaman'!AQ9&lt;=Girdiler!$C$75),Girdiler!$C$90/Girdiler!$C$75,0)</f>
        <v/>
      </c>
      <c r="AR8" s="18">
        <f>IF(AND('Zaman'!AR9&gt;=1,'Zaman'!AR9&lt;=Girdiler!$C$75),Girdiler!$C$90/Girdiler!$C$75,0)</f>
        <v/>
      </c>
    </row>
    <row r="9">
      <c r="A9" t="inlineStr">
        <is>
          <t>Mahsup öncesi matrah</t>
        </is>
      </c>
      <c r="B9" t="inlineStr">
        <is>
          <t>USD</t>
        </is>
      </c>
      <c r="C9" t="inlineStr"/>
      <c r="D9" s="18">
        <f>SUM(F9:AR9)</f>
        <v/>
      </c>
      <c r="E9" s="18" t="n">
        <v>0</v>
      </c>
      <c r="F9" s="18">
        <f>'OPEX'!F14-'Vergi'!F8-'OPEX'!F15-'OPEX'!F16</f>
        <v/>
      </c>
      <c r="G9" s="18">
        <f>'OPEX'!G14-'Vergi'!G8-'OPEX'!G15-'OPEX'!G16</f>
        <v/>
      </c>
      <c r="H9" s="18">
        <f>'OPEX'!H14-'Vergi'!H8-'OPEX'!H15-'OPEX'!H16</f>
        <v/>
      </c>
      <c r="I9" s="18">
        <f>'OPEX'!I14-'Vergi'!I8-'OPEX'!I15-'OPEX'!I16</f>
        <v/>
      </c>
      <c r="J9" s="18">
        <f>'OPEX'!J14-'Vergi'!J8-'OPEX'!J15-'OPEX'!J16</f>
        <v/>
      </c>
      <c r="K9" s="18">
        <f>'OPEX'!K14-'Vergi'!K8-'OPEX'!K15-'OPEX'!K16</f>
        <v/>
      </c>
      <c r="L9" s="18">
        <f>'OPEX'!L14-'Vergi'!L8-'OPEX'!L15-'OPEX'!L16</f>
        <v/>
      </c>
      <c r="M9" s="18">
        <f>'OPEX'!M14-'Vergi'!M8-'OPEX'!M15-'OPEX'!M16</f>
        <v/>
      </c>
      <c r="N9" s="18">
        <f>'OPEX'!N14-'Vergi'!N8-'OPEX'!N15-'OPEX'!N16</f>
        <v/>
      </c>
      <c r="O9" s="18">
        <f>'OPEX'!O14-'Vergi'!O8-'OPEX'!O15-'OPEX'!O16</f>
        <v/>
      </c>
      <c r="P9" s="18">
        <f>'OPEX'!P14-'Vergi'!P8-'OPEX'!P15-'OPEX'!P16</f>
        <v/>
      </c>
      <c r="Q9" s="18">
        <f>'OPEX'!Q14-'Vergi'!Q8-'OPEX'!Q15-'OPEX'!Q16</f>
        <v/>
      </c>
      <c r="R9" s="18">
        <f>'OPEX'!R14-'Vergi'!R8-'OPEX'!R15-'OPEX'!R16</f>
        <v/>
      </c>
      <c r="S9" s="18">
        <f>'OPEX'!S14-'Vergi'!S8-'OPEX'!S15-'OPEX'!S16</f>
        <v/>
      </c>
      <c r="T9" s="18">
        <f>'OPEX'!T14-'Vergi'!T8-'OPEX'!T15-'OPEX'!T16</f>
        <v/>
      </c>
      <c r="U9" s="18">
        <f>'OPEX'!U14-'Vergi'!U8-'OPEX'!U15-'OPEX'!U16</f>
        <v/>
      </c>
      <c r="V9" s="18">
        <f>'OPEX'!V14-'Vergi'!V8-'OPEX'!V15-'OPEX'!V16</f>
        <v/>
      </c>
      <c r="W9" s="18">
        <f>'OPEX'!W14-'Vergi'!W8-'OPEX'!W15-'OPEX'!W16</f>
        <v/>
      </c>
      <c r="X9" s="18">
        <f>'OPEX'!X14-'Vergi'!X8-'OPEX'!X15-'OPEX'!X16</f>
        <v/>
      </c>
      <c r="Y9" s="18">
        <f>'OPEX'!Y14-'Vergi'!Y8-'OPEX'!Y15-'OPEX'!Y16</f>
        <v/>
      </c>
      <c r="Z9" s="18">
        <f>'OPEX'!Z14-'Vergi'!Z8-'OPEX'!Z15-'OPEX'!Z16</f>
        <v/>
      </c>
      <c r="AA9" s="18">
        <f>'OPEX'!AA14-'Vergi'!AA8-'OPEX'!AA15-'OPEX'!AA16</f>
        <v/>
      </c>
      <c r="AB9" s="18">
        <f>'OPEX'!AB14-'Vergi'!AB8-'OPEX'!AB15-'OPEX'!AB16</f>
        <v/>
      </c>
      <c r="AC9" s="18">
        <f>'OPEX'!AC14-'Vergi'!AC8-'OPEX'!AC15-'OPEX'!AC16</f>
        <v/>
      </c>
      <c r="AD9" s="18">
        <f>'OPEX'!AD14-'Vergi'!AD8-'OPEX'!AD15-'OPEX'!AD16</f>
        <v/>
      </c>
      <c r="AE9" s="18">
        <f>'OPEX'!AE14-'Vergi'!AE8-'OPEX'!AE15-'OPEX'!AE16</f>
        <v/>
      </c>
      <c r="AF9" s="18">
        <f>'OPEX'!AF14-'Vergi'!AF8-'OPEX'!AF15-'OPEX'!AF16</f>
        <v/>
      </c>
      <c r="AG9" s="18">
        <f>'OPEX'!AG14-'Vergi'!AG8-'OPEX'!AG15-'OPEX'!AG16</f>
        <v/>
      </c>
      <c r="AH9" s="18">
        <f>'OPEX'!AH14-'Vergi'!AH8-'OPEX'!AH15-'OPEX'!AH16</f>
        <v/>
      </c>
      <c r="AI9" s="18">
        <f>'OPEX'!AI14-'Vergi'!AI8-'OPEX'!AI15-'OPEX'!AI16</f>
        <v/>
      </c>
      <c r="AJ9" s="18">
        <f>'OPEX'!AJ14-'Vergi'!AJ8-'OPEX'!AJ15-'OPEX'!AJ16</f>
        <v/>
      </c>
      <c r="AK9" s="18">
        <f>'OPEX'!AK14-'Vergi'!AK8-'OPEX'!AK15-'OPEX'!AK16</f>
        <v/>
      </c>
      <c r="AL9" s="18">
        <f>'OPEX'!AL14-'Vergi'!AL8-'OPEX'!AL15-'OPEX'!AL16</f>
        <v/>
      </c>
      <c r="AM9" s="18">
        <f>'OPEX'!AM14-'Vergi'!AM8-'OPEX'!AM15-'OPEX'!AM16</f>
        <v/>
      </c>
      <c r="AN9" s="18">
        <f>'OPEX'!AN14-'Vergi'!AN8-'OPEX'!AN15-'OPEX'!AN16</f>
        <v/>
      </c>
      <c r="AO9" s="18">
        <f>'OPEX'!AO14-'Vergi'!AO8-'OPEX'!AO15-'OPEX'!AO16</f>
        <v/>
      </c>
      <c r="AP9" s="18">
        <f>'OPEX'!AP14-'Vergi'!AP8-'OPEX'!AP15-'OPEX'!AP16</f>
        <v/>
      </c>
      <c r="AQ9" s="18">
        <f>'OPEX'!AQ14-'Vergi'!AQ8-'OPEX'!AQ15-'OPEX'!AQ16</f>
        <v/>
      </c>
      <c r="AR9" s="18">
        <f>'OPEX'!AR14-'Vergi'!AR8-'OPEX'!AR15-'OPEX'!AR16</f>
        <v/>
      </c>
    </row>
    <row r="10">
      <c r="A10" t="inlineStr">
        <is>
          <t>Dönem zararı</t>
        </is>
      </c>
      <c r="B10" t="inlineStr">
        <is>
          <t>USD</t>
        </is>
      </c>
      <c r="C10" t="inlineStr"/>
      <c r="D10" s="18">
        <f>SUM(F10:AR10)</f>
        <v/>
      </c>
      <c r="E10" s="18" t="n">
        <v>0</v>
      </c>
      <c r="F10" s="18">
        <f>MAX(-'Vergi'!F9,0)</f>
        <v/>
      </c>
      <c r="G10" s="18">
        <f>MAX(-'Vergi'!G9,0)</f>
        <v/>
      </c>
      <c r="H10" s="18">
        <f>MAX(-'Vergi'!H9,0)</f>
        <v/>
      </c>
      <c r="I10" s="18">
        <f>MAX(-'Vergi'!I9,0)</f>
        <v/>
      </c>
      <c r="J10" s="18">
        <f>MAX(-'Vergi'!J9,0)</f>
        <v/>
      </c>
      <c r="K10" s="18">
        <f>MAX(-'Vergi'!K9,0)</f>
        <v/>
      </c>
      <c r="L10" s="18">
        <f>MAX(-'Vergi'!L9,0)</f>
        <v/>
      </c>
      <c r="M10" s="18">
        <f>MAX(-'Vergi'!M9,0)</f>
        <v/>
      </c>
      <c r="N10" s="18">
        <f>MAX(-'Vergi'!N9,0)</f>
        <v/>
      </c>
      <c r="O10" s="18">
        <f>MAX(-'Vergi'!O9,0)</f>
        <v/>
      </c>
      <c r="P10" s="18">
        <f>MAX(-'Vergi'!P9,0)</f>
        <v/>
      </c>
      <c r="Q10" s="18">
        <f>MAX(-'Vergi'!Q9,0)</f>
        <v/>
      </c>
      <c r="R10" s="18">
        <f>MAX(-'Vergi'!R9,0)</f>
        <v/>
      </c>
      <c r="S10" s="18">
        <f>MAX(-'Vergi'!S9,0)</f>
        <v/>
      </c>
      <c r="T10" s="18">
        <f>MAX(-'Vergi'!T9,0)</f>
        <v/>
      </c>
      <c r="U10" s="18">
        <f>MAX(-'Vergi'!U9,0)</f>
        <v/>
      </c>
      <c r="V10" s="18">
        <f>MAX(-'Vergi'!V9,0)</f>
        <v/>
      </c>
      <c r="W10" s="18">
        <f>MAX(-'Vergi'!W9,0)</f>
        <v/>
      </c>
      <c r="X10" s="18">
        <f>MAX(-'Vergi'!X9,0)</f>
        <v/>
      </c>
      <c r="Y10" s="18">
        <f>MAX(-'Vergi'!Y9,0)</f>
        <v/>
      </c>
      <c r="Z10" s="18">
        <f>MAX(-'Vergi'!Z9,0)</f>
        <v/>
      </c>
      <c r="AA10" s="18">
        <f>MAX(-'Vergi'!AA9,0)</f>
        <v/>
      </c>
      <c r="AB10" s="18">
        <f>MAX(-'Vergi'!AB9,0)</f>
        <v/>
      </c>
      <c r="AC10" s="18">
        <f>MAX(-'Vergi'!AC9,0)</f>
        <v/>
      </c>
      <c r="AD10" s="18">
        <f>MAX(-'Vergi'!AD9,0)</f>
        <v/>
      </c>
      <c r="AE10" s="18">
        <f>MAX(-'Vergi'!AE9,0)</f>
        <v/>
      </c>
      <c r="AF10" s="18">
        <f>MAX(-'Vergi'!AF9,0)</f>
        <v/>
      </c>
      <c r="AG10" s="18">
        <f>MAX(-'Vergi'!AG9,0)</f>
        <v/>
      </c>
      <c r="AH10" s="18">
        <f>MAX(-'Vergi'!AH9,0)</f>
        <v/>
      </c>
      <c r="AI10" s="18">
        <f>MAX(-'Vergi'!AI9,0)</f>
        <v/>
      </c>
      <c r="AJ10" s="18">
        <f>MAX(-'Vergi'!AJ9,0)</f>
        <v/>
      </c>
      <c r="AK10" s="18">
        <f>MAX(-'Vergi'!AK9,0)</f>
        <v/>
      </c>
      <c r="AL10" s="18">
        <f>MAX(-'Vergi'!AL9,0)</f>
        <v/>
      </c>
      <c r="AM10" s="18">
        <f>MAX(-'Vergi'!AM9,0)</f>
        <v/>
      </c>
      <c r="AN10" s="18">
        <f>MAX(-'Vergi'!AN9,0)</f>
        <v/>
      </c>
      <c r="AO10" s="18">
        <f>MAX(-'Vergi'!AO9,0)</f>
        <v/>
      </c>
      <c r="AP10" s="18">
        <f>MAX(-'Vergi'!AP9,0)</f>
        <v/>
      </c>
      <c r="AQ10" s="18">
        <f>MAX(-'Vergi'!AQ9,0)</f>
        <v/>
      </c>
      <c r="AR10" s="18">
        <f>MAX(-'Vergi'!AR9,0)</f>
        <v/>
      </c>
    </row>
    <row r="11">
      <c r="A11" t="inlineStr">
        <is>
          <t>Pozitif matrah</t>
        </is>
      </c>
      <c r="B11" t="inlineStr">
        <is>
          <t>USD</t>
        </is>
      </c>
      <c r="C11" t="inlineStr"/>
      <c r="D11" s="18">
        <f>SUM(F11:AR11)</f>
        <v/>
      </c>
      <c r="E11" s="18" t="n">
        <v>0</v>
      </c>
      <c r="F11" s="18">
        <f>MAX('Vergi'!F9,0)</f>
        <v/>
      </c>
      <c r="G11" s="18">
        <f>MAX('Vergi'!G9,0)</f>
        <v/>
      </c>
      <c r="H11" s="18">
        <f>MAX('Vergi'!H9,0)</f>
        <v/>
      </c>
      <c r="I11" s="18">
        <f>MAX('Vergi'!I9,0)</f>
        <v/>
      </c>
      <c r="J11" s="18">
        <f>MAX('Vergi'!J9,0)</f>
        <v/>
      </c>
      <c r="K11" s="18">
        <f>MAX('Vergi'!K9,0)</f>
        <v/>
      </c>
      <c r="L11" s="18">
        <f>MAX('Vergi'!L9,0)</f>
        <v/>
      </c>
      <c r="M11" s="18">
        <f>MAX('Vergi'!M9,0)</f>
        <v/>
      </c>
      <c r="N11" s="18">
        <f>MAX('Vergi'!N9,0)</f>
        <v/>
      </c>
      <c r="O11" s="18">
        <f>MAX('Vergi'!O9,0)</f>
        <v/>
      </c>
      <c r="P11" s="18">
        <f>MAX('Vergi'!P9,0)</f>
        <v/>
      </c>
      <c r="Q11" s="18">
        <f>MAX('Vergi'!Q9,0)</f>
        <v/>
      </c>
      <c r="R11" s="18">
        <f>MAX('Vergi'!R9,0)</f>
        <v/>
      </c>
      <c r="S11" s="18">
        <f>MAX('Vergi'!S9,0)</f>
        <v/>
      </c>
      <c r="T11" s="18">
        <f>MAX('Vergi'!T9,0)</f>
        <v/>
      </c>
      <c r="U11" s="18">
        <f>MAX('Vergi'!U9,0)</f>
        <v/>
      </c>
      <c r="V11" s="18">
        <f>MAX('Vergi'!V9,0)</f>
        <v/>
      </c>
      <c r="W11" s="18">
        <f>MAX('Vergi'!W9,0)</f>
        <v/>
      </c>
      <c r="X11" s="18">
        <f>MAX('Vergi'!X9,0)</f>
        <v/>
      </c>
      <c r="Y11" s="18">
        <f>MAX('Vergi'!Y9,0)</f>
        <v/>
      </c>
      <c r="Z11" s="18">
        <f>MAX('Vergi'!Z9,0)</f>
        <v/>
      </c>
      <c r="AA11" s="18">
        <f>MAX('Vergi'!AA9,0)</f>
        <v/>
      </c>
      <c r="AB11" s="18">
        <f>MAX('Vergi'!AB9,0)</f>
        <v/>
      </c>
      <c r="AC11" s="18">
        <f>MAX('Vergi'!AC9,0)</f>
        <v/>
      </c>
      <c r="AD11" s="18">
        <f>MAX('Vergi'!AD9,0)</f>
        <v/>
      </c>
      <c r="AE11" s="18">
        <f>MAX('Vergi'!AE9,0)</f>
        <v/>
      </c>
      <c r="AF11" s="18">
        <f>MAX('Vergi'!AF9,0)</f>
        <v/>
      </c>
      <c r="AG11" s="18">
        <f>MAX('Vergi'!AG9,0)</f>
        <v/>
      </c>
      <c r="AH11" s="18">
        <f>MAX('Vergi'!AH9,0)</f>
        <v/>
      </c>
      <c r="AI11" s="18">
        <f>MAX('Vergi'!AI9,0)</f>
        <v/>
      </c>
      <c r="AJ11" s="18">
        <f>MAX('Vergi'!AJ9,0)</f>
        <v/>
      </c>
      <c r="AK11" s="18">
        <f>MAX('Vergi'!AK9,0)</f>
        <v/>
      </c>
      <c r="AL11" s="18">
        <f>MAX('Vergi'!AL9,0)</f>
        <v/>
      </c>
      <c r="AM11" s="18">
        <f>MAX('Vergi'!AM9,0)</f>
        <v/>
      </c>
      <c r="AN11" s="18">
        <f>MAX('Vergi'!AN9,0)</f>
        <v/>
      </c>
      <c r="AO11" s="18">
        <f>MAX('Vergi'!AO9,0)</f>
        <v/>
      </c>
      <c r="AP11" s="18">
        <f>MAX('Vergi'!AP9,0)</f>
        <v/>
      </c>
      <c r="AQ11" s="18">
        <f>MAX('Vergi'!AQ9,0)</f>
        <v/>
      </c>
      <c r="AR11" s="18">
        <f>MAX('Vergi'!AR9,0)</f>
        <v/>
      </c>
    </row>
    <row r="12">
      <c r="A12" s="27" t="inlineStr">
        <is>
          <t>FIFO mahsup matrisi: satır = zararın doğduğu işletme yılı v, hücre = o yıl kullanılan tutar (v+1 … v+5)</t>
        </is>
      </c>
    </row>
    <row r="13">
      <c r="A13" t="inlineStr">
        <is>
          <t>Zarar yılı 1 — kullanım</t>
        </is>
      </c>
      <c r="B13" t="inlineStr">
        <is>
          <t>USD</t>
        </is>
      </c>
      <c r="F13" s="18">
        <f>IF(AND('Zaman'!F9&gt;1,'Zaman'!F9-1&lt;=5),MIN(INDEX('Vergi'!$F$10:$AR$10,MATCH(1,'Zaman'!$F$9:$AR$9,0))-0,MAX(0,'Vergi'!F11-0)),0)</f>
        <v/>
      </c>
      <c r="G13" s="18">
        <f>IF(AND('Zaman'!G9&gt;1,'Zaman'!G9-1&lt;=5),MIN(INDEX('Vergi'!$F$10:$AR$10,MATCH(1,'Zaman'!$F$9:$AR$9,0))-SUM(F13:F13),MAX(0,'Vergi'!G11-0)),0)</f>
        <v/>
      </c>
      <c r="H13" s="18">
        <f>IF(AND('Zaman'!H9&gt;1,'Zaman'!H9-1&lt;=5),MIN(INDEX('Vergi'!$F$10:$AR$10,MATCH(1,'Zaman'!$F$9:$AR$9,0))-SUM(F13:G13),MAX(0,'Vergi'!H11-0)),0)</f>
        <v/>
      </c>
      <c r="I13" s="18">
        <f>IF(AND('Zaman'!I9&gt;1,'Zaman'!I9-1&lt;=5),MIN(INDEX('Vergi'!$F$10:$AR$10,MATCH(1,'Zaman'!$F$9:$AR$9,0))-SUM(F13:H13),MAX(0,'Vergi'!I11-0)),0)</f>
        <v/>
      </c>
      <c r="J13" s="18">
        <f>IF(AND('Zaman'!J9&gt;1,'Zaman'!J9-1&lt;=5),MIN(INDEX('Vergi'!$F$10:$AR$10,MATCH(1,'Zaman'!$F$9:$AR$9,0))-SUM(F13:I13),MAX(0,'Vergi'!J11-0)),0)</f>
        <v/>
      </c>
      <c r="K13" s="18">
        <f>IF(AND('Zaman'!K9&gt;1,'Zaman'!K9-1&lt;=5),MIN(INDEX('Vergi'!$F$10:$AR$10,MATCH(1,'Zaman'!$F$9:$AR$9,0))-SUM(F13:J13),MAX(0,'Vergi'!K11-0)),0)</f>
        <v/>
      </c>
      <c r="L13" s="18">
        <f>IF(AND('Zaman'!L9&gt;1,'Zaman'!L9-1&lt;=5),MIN(INDEX('Vergi'!$F$10:$AR$10,MATCH(1,'Zaman'!$F$9:$AR$9,0))-SUM(F13:K13),MAX(0,'Vergi'!L11-0)),0)</f>
        <v/>
      </c>
      <c r="M13" s="18">
        <f>IF(AND('Zaman'!M9&gt;1,'Zaman'!M9-1&lt;=5),MIN(INDEX('Vergi'!$F$10:$AR$10,MATCH(1,'Zaman'!$F$9:$AR$9,0))-SUM(F13:L13),MAX(0,'Vergi'!M11-0)),0)</f>
        <v/>
      </c>
      <c r="N13" s="18">
        <f>IF(AND('Zaman'!N9&gt;1,'Zaman'!N9-1&lt;=5),MIN(INDEX('Vergi'!$F$10:$AR$10,MATCH(1,'Zaman'!$F$9:$AR$9,0))-SUM(F13:M13),MAX(0,'Vergi'!N11-0)),0)</f>
        <v/>
      </c>
      <c r="O13" s="18">
        <f>IF(AND('Zaman'!O9&gt;1,'Zaman'!O9-1&lt;=5),MIN(INDEX('Vergi'!$F$10:$AR$10,MATCH(1,'Zaman'!$F$9:$AR$9,0))-SUM(F13:N13),MAX(0,'Vergi'!O11-0)),0)</f>
        <v/>
      </c>
      <c r="P13" s="18">
        <f>IF(AND('Zaman'!P9&gt;1,'Zaman'!P9-1&lt;=5),MIN(INDEX('Vergi'!$F$10:$AR$10,MATCH(1,'Zaman'!$F$9:$AR$9,0))-SUM(F13:O13),MAX(0,'Vergi'!P11-0)),0)</f>
        <v/>
      </c>
      <c r="Q13" s="18">
        <f>IF(AND('Zaman'!Q9&gt;1,'Zaman'!Q9-1&lt;=5),MIN(INDEX('Vergi'!$F$10:$AR$10,MATCH(1,'Zaman'!$F$9:$AR$9,0))-SUM(F13:P13),MAX(0,'Vergi'!Q11-0)),0)</f>
        <v/>
      </c>
      <c r="R13" s="18">
        <f>IF(AND('Zaman'!R9&gt;1,'Zaman'!R9-1&lt;=5),MIN(INDEX('Vergi'!$F$10:$AR$10,MATCH(1,'Zaman'!$F$9:$AR$9,0))-SUM(F13:Q13),MAX(0,'Vergi'!R11-0)),0)</f>
        <v/>
      </c>
      <c r="S13" s="18">
        <f>IF(AND('Zaman'!S9&gt;1,'Zaman'!S9-1&lt;=5),MIN(INDEX('Vergi'!$F$10:$AR$10,MATCH(1,'Zaman'!$F$9:$AR$9,0))-SUM(F13:R13),MAX(0,'Vergi'!S11-0)),0)</f>
        <v/>
      </c>
      <c r="T13" s="18">
        <f>IF(AND('Zaman'!T9&gt;1,'Zaman'!T9-1&lt;=5),MIN(INDEX('Vergi'!$F$10:$AR$10,MATCH(1,'Zaman'!$F$9:$AR$9,0))-SUM(F13:S13),MAX(0,'Vergi'!T11-0)),0)</f>
        <v/>
      </c>
      <c r="U13" s="18">
        <f>IF(AND('Zaman'!U9&gt;1,'Zaman'!U9-1&lt;=5),MIN(INDEX('Vergi'!$F$10:$AR$10,MATCH(1,'Zaman'!$F$9:$AR$9,0))-SUM(F13:T13),MAX(0,'Vergi'!U11-0)),0)</f>
        <v/>
      </c>
      <c r="V13" s="18">
        <f>IF(AND('Zaman'!V9&gt;1,'Zaman'!V9-1&lt;=5),MIN(INDEX('Vergi'!$F$10:$AR$10,MATCH(1,'Zaman'!$F$9:$AR$9,0))-SUM(F13:U13),MAX(0,'Vergi'!V11-0)),0)</f>
        <v/>
      </c>
      <c r="W13" s="18">
        <f>IF(AND('Zaman'!W9&gt;1,'Zaman'!W9-1&lt;=5),MIN(INDEX('Vergi'!$F$10:$AR$10,MATCH(1,'Zaman'!$F$9:$AR$9,0))-SUM(F13:V13),MAX(0,'Vergi'!W11-0)),0)</f>
        <v/>
      </c>
      <c r="X13" s="18">
        <f>IF(AND('Zaman'!X9&gt;1,'Zaman'!X9-1&lt;=5),MIN(INDEX('Vergi'!$F$10:$AR$10,MATCH(1,'Zaman'!$F$9:$AR$9,0))-SUM(F13:W13),MAX(0,'Vergi'!X11-0)),0)</f>
        <v/>
      </c>
      <c r="Y13" s="18">
        <f>IF(AND('Zaman'!Y9&gt;1,'Zaman'!Y9-1&lt;=5),MIN(INDEX('Vergi'!$F$10:$AR$10,MATCH(1,'Zaman'!$F$9:$AR$9,0))-SUM(F13:X13),MAX(0,'Vergi'!Y11-0)),0)</f>
        <v/>
      </c>
      <c r="Z13" s="18">
        <f>IF(AND('Zaman'!Z9&gt;1,'Zaman'!Z9-1&lt;=5),MIN(INDEX('Vergi'!$F$10:$AR$10,MATCH(1,'Zaman'!$F$9:$AR$9,0))-SUM(F13:Y13),MAX(0,'Vergi'!Z11-0)),0)</f>
        <v/>
      </c>
      <c r="AA13" s="18">
        <f>IF(AND('Zaman'!AA9&gt;1,'Zaman'!AA9-1&lt;=5),MIN(INDEX('Vergi'!$F$10:$AR$10,MATCH(1,'Zaman'!$F$9:$AR$9,0))-SUM(F13:Z13),MAX(0,'Vergi'!AA11-0)),0)</f>
        <v/>
      </c>
      <c r="AB13" s="18">
        <f>IF(AND('Zaman'!AB9&gt;1,'Zaman'!AB9-1&lt;=5),MIN(INDEX('Vergi'!$F$10:$AR$10,MATCH(1,'Zaman'!$F$9:$AR$9,0))-SUM(F13:AA13),MAX(0,'Vergi'!AB11-0)),0)</f>
        <v/>
      </c>
      <c r="AC13" s="18">
        <f>IF(AND('Zaman'!AC9&gt;1,'Zaman'!AC9-1&lt;=5),MIN(INDEX('Vergi'!$F$10:$AR$10,MATCH(1,'Zaman'!$F$9:$AR$9,0))-SUM(F13:AB13),MAX(0,'Vergi'!AC11-0)),0)</f>
        <v/>
      </c>
      <c r="AD13" s="18">
        <f>IF(AND('Zaman'!AD9&gt;1,'Zaman'!AD9-1&lt;=5),MIN(INDEX('Vergi'!$F$10:$AR$10,MATCH(1,'Zaman'!$F$9:$AR$9,0))-SUM(F13:AC13),MAX(0,'Vergi'!AD11-0)),0)</f>
        <v/>
      </c>
      <c r="AE13" s="18">
        <f>IF(AND('Zaman'!AE9&gt;1,'Zaman'!AE9-1&lt;=5),MIN(INDEX('Vergi'!$F$10:$AR$10,MATCH(1,'Zaman'!$F$9:$AR$9,0))-SUM(F13:AD13),MAX(0,'Vergi'!AE11-0)),0)</f>
        <v/>
      </c>
      <c r="AF13" s="18">
        <f>IF(AND('Zaman'!AF9&gt;1,'Zaman'!AF9-1&lt;=5),MIN(INDEX('Vergi'!$F$10:$AR$10,MATCH(1,'Zaman'!$F$9:$AR$9,0))-SUM(F13:AE13),MAX(0,'Vergi'!AF11-0)),0)</f>
        <v/>
      </c>
      <c r="AG13" s="18">
        <f>IF(AND('Zaman'!AG9&gt;1,'Zaman'!AG9-1&lt;=5),MIN(INDEX('Vergi'!$F$10:$AR$10,MATCH(1,'Zaman'!$F$9:$AR$9,0))-SUM(F13:AF13),MAX(0,'Vergi'!AG11-0)),0)</f>
        <v/>
      </c>
      <c r="AH13" s="18">
        <f>IF(AND('Zaman'!AH9&gt;1,'Zaman'!AH9-1&lt;=5),MIN(INDEX('Vergi'!$F$10:$AR$10,MATCH(1,'Zaman'!$F$9:$AR$9,0))-SUM(F13:AG13),MAX(0,'Vergi'!AH11-0)),0)</f>
        <v/>
      </c>
      <c r="AI13" s="18">
        <f>IF(AND('Zaman'!AI9&gt;1,'Zaman'!AI9-1&lt;=5),MIN(INDEX('Vergi'!$F$10:$AR$10,MATCH(1,'Zaman'!$F$9:$AR$9,0))-SUM(F13:AH13),MAX(0,'Vergi'!AI11-0)),0)</f>
        <v/>
      </c>
      <c r="AJ13" s="18">
        <f>IF(AND('Zaman'!AJ9&gt;1,'Zaman'!AJ9-1&lt;=5),MIN(INDEX('Vergi'!$F$10:$AR$10,MATCH(1,'Zaman'!$F$9:$AR$9,0))-SUM(F13:AI13),MAX(0,'Vergi'!AJ11-0)),0)</f>
        <v/>
      </c>
      <c r="AK13" s="18">
        <f>IF(AND('Zaman'!AK9&gt;1,'Zaman'!AK9-1&lt;=5),MIN(INDEX('Vergi'!$F$10:$AR$10,MATCH(1,'Zaman'!$F$9:$AR$9,0))-SUM(F13:AJ13),MAX(0,'Vergi'!AK11-0)),0)</f>
        <v/>
      </c>
      <c r="AL13" s="18">
        <f>IF(AND('Zaman'!AL9&gt;1,'Zaman'!AL9-1&lt;=5),MIN(INDEX('Vergi'!$F$10:$AR$10,MATCH(1,'Zaman'!$F$9:$AR$9,0))-SUM(F13:AK13),MAX(0,'Vergi'!AL11-0)),0)</f>
        <v/>
      </c>
      <c r="AM13" s="18">
        <f>IF(AND('Zaman'!AM9&gt;1,'Zaman'!AM9-1&lt;=5),MIN(INDEX('Vergi'!$F$10:$AR$10,MATCH(1,'Zaman'!$F$9:$AR$9,0))-SUM(F13:AL13),MAX(0,'Vergi'!AM11-0)),0)</f>
        <v/>
      </c>
      <c r="AN13" s="18">
        <f>IF(AND('Zaman'!AN9&gt;1,'Zaman'!AN9-1&lt;=5),MIN(INDEX('Vergi'!$F$10:$AR$10,MATCH(1,'Zaman'!$F$9:$AR$9,0))-SUM(F13:AM13),MAX(0,'Vergi'!AN11-0)),0)</f>
        <v/>
      </c>
      <c r="AO13" s="18">
        <f>IF(AND('Zaman'!AO9&gt;1,'Zaman'!AO9-1&lt;=5),MIN(INDEX('Vergi'!$F$10:$AR$10,MATCH(1,'Zaman'!$F$9:$AR$9,0))-SUM(F13:AN13),MAX(0,'Vergi'!AO11-0)),0)</f>
        <v/>
      </c>
      <c r="AP13" s="18">
        <f>IF(AND('Zaman'!AP9&gt;1,'Zaman'!AP9-1&lt;=5),MIN(INDEX('Vergi'!$F$10:$AR$10,MATCH(1,'Zaman'!$F$9:$AR$9,0))-SUM(F13:AO13),MAX(0,'Vergi'!AP11-0)),0)</f>
        <v/>
      </c>
      <c r="AQ13" s="18">
        <f>IF(AND('Zaman'!AQ9&gt;1,'Zaman'!AQ9-1&lt;=5),MIN(INDEX('Vergi'!$F$10:$AR$10,MATCH(1,'Zaman'!$F$9:$AR$9,0))-SUM(F13:AP13),MAX(0,'Vergi'!AQ11-0)),0)</f>
        <v/>
      </c>
      <c r="AR13" s="18">
        <f>IF(AND('Zaman'!AR9&gt;1,'Zaman'!AR9-1&lt;=5),MIN(INDEX('Vergi'!$F$10:$AR$10,MATCH(1,'Zaman'!$F$9:$AR$9,0))-SUM(F13:AQ13),MAX(0,'Vergi'!AR11-0)),0)</f>
        <v/>
      </c>
    </row>
    <row r="14">
      <c r="A14" t="inlineStr">
        <is>
          <t>Zarar yılı 2 — kullanım</t>
        </is>
      </c>
      <c r="B14" t="inlineStr">
        <is>
          <t>USD</t>
        </is>
      </c>
      <c r="F14" s="18">
        <f>IF(AND('Zaman'!F9&gt;2,'Zaman'!F9-2&lt;=5),MIN(INDEX('Vergi'!$F$10:$AR$10,MATCH(2,'Zaman'!$F$9:$AR$9,0))-0,MAX(0,'Vergi'!F11-SUM(F13:F13))),0)</f>
        <v/>
      </c>
      <c r="G14" s="18">
        <f>IF(AND('Zaman'!G9&gt;2,'Zaman'!G9-2&lt;=5),MIN(INDEX('Vergi'!$F$10:$AR$10,MATCH(2,'Zaman'!$F$9:$AR$9,0))-SUM(F14:F14),MAX(0,'Vergi'!G11-SUM(G13:G13))),0)</f>
        <v/>
      </c>
      <c r="H14" s="18">
        <f>IF(AND('Zaman'!H9&gt;2,'Zaman'!H9-2&lt;=5),MIN(INDEX('Vergi'!$F$10:$AR$10,MATCH(2,'Zaman'!$F$9:$AR$9,0))-SUM(F14:G14),MAX(0,'Vergi'!H11-SUM(H13:H13))),0)</f>
        <v/>
      </c>
      <c r="I14" s="18">
        <f>IF(AND('Zaman'!I9&gt;2,'Zaman'!I9-2&lt;=5),MIN(INDEX('Vergi'!$F$10:$AR$10,MATCH(2,'Zaman'!$F$9:$AR$9,0))-SUM(F14:H14),MAX(0,'Vergi'!I11-SUM(I13:I13))),0)</f>
        <v/>
      </c>
      <c r="J14" s="18">
        <f>IF(AND('Zaman'!J9&gt;2,'Zaman'!J9-2&lt;=5),MIN(INDEX('Vergi'!$F$10:$AR$10,MATCH(2,'Zaman'!$F$9:$AR$9,0))-SUM(F14:I14),MAX(0,'Vergi'!J11-SUM(J13:J13))),0)</f>
        <v/>
      </c>
      <c r="K14" s="18">
        <f>IF(AND('Zaman'!K9&gt;2,'Zaman'!K9-2&lt;=5),MIN(INDEX('Vergi'!$F$10:$AR$10,MATCH(2,'Zaman'!$F$9:$AR$9,0))-SUM(F14:J14),MAX(0,'Vergi'!K11-SUM(K13:K13))),0)</f>
        <v/>
      </c>
      <c r="L14" s="18">
        <f>IF(AND('Zaman'!L9&gt;2,'Zaman'!L9-2&lt;=5),MIN(INDEX('Vergi'!$F$10:$AR$10,MATCH(2,'Zaman'!$F$9:$AR$9,0))-SUM(F14:K14),MAX(0,'Vergi'!L11-SUM(L13:L13))),0)</f>
        <v/>
      </c>
      <c r="M14" s="18">
        <f>IF(AND('Zaman'!M9&gt;2,'Zaman'!M9-2&lt;=5),MIN(INDEX('Vergi'!$F$10:$AR$10,MATCH(2,'Zaman'!$F$9:$AR$9,0))-SUM(F14:L14),MAX(0,'Vergi'!M11-SUM(M13:M13))),0)</f>
        <v/>
      </c>
      <c r="N14" s="18">
        <f>IF(AND('Zaman'!N9&gt;2,'Zaman'!N9-2&lt;=5),MIN(INDEX('Vergi'!$F$10:$AR$10,MATCH(2,'Zaman'!$F$9:$AR$9,0))-SUM(F14:M14),MAX(0,'Vergi'!N11-SUM(N13:N13))),0)</f>
        <v/>
      </c>
      <c r="O14" s="18">
        <f>IF(AND('Zaman'!O9&gt;2,'Zaman'!O9-2&lt;=5),MIN(INDEX('Vergi'!$F$10:$AR$10,MATCH(2,'Zaman'!$F$9:$AR$9,0))-SUM(F14:N14),MAX(0,'Vergi'!O11-SUM(O13:O13))),0)</f>
        <v/>
      </c>
      <c r="P14" s="18">
        <f>IF(AND('Zaman'!P9&gt;2,'Zaman'!P9-2&lt;=5),MIN(INDEX('Vergi'!$F$10:$AR$10,MATCH(2,'Zaman'!$F$9:$AR$9,0))-SUM(F14:O14),MAX(0,'Vergi'!P11-SUM(P13:P13))),0)</f>
        <v/>
      </c>
      <c r="Q14" s="18">
        <f>IF(AND('Zaman'!Q9&gt;2,'Zaman'!Q9-2&lt;=5),MIN(INDEX('Vergi'!$F$10:$AR$10,MATCH(2,'Zaman'!$F$9:$AR$9,0))-SUM(F14:P14),MAX(0,'Vergi'!Q11-SUM(Q13:Q13))),0)</f>
        <v/>
      </c>
      <c r="R14" s="18">
        <f>IF(AND('Zaman'!R9&gt;2,'Zaman'!R9-2&lt;=5),MIN(INDEX('Vergi'!$F$10:$AR$10,MATCH(2,'Zaman'!$F$9:$AR$9,0))-SUM(F14:Q14),MAX(0,'Vergi'!R11-SUM(R13:R13))),0)</f>
        <v/>
      </c>
      <c r="S14" s="18">
        <f>IF(AND('Zaman'!S9&gt;2,'Zaman'!S9-2&lt;=5),MIN(INDEX('Vergi'!$F$10:$AR$10,MATCH(2,'Zaman'!$F$9:$AR$9,0))-SUM(F14:R14),MAX(0,'Vergi'!S11-SUM(S13:S13))),0)</f>
        <v/>
      </c>
      <c r="T14" s="18">
        <f>IF(AND('Zaman'!T9&gt;2,'Zaman'!T9-2&lt;=5),MIN(INDEX('Vergi'!$F$10:$AR$10,MATCH(2,'Zaman'!$F$9:$AR$9,0))-SUM(F14:S14),MAX(0,'Vergi'!T11-SUM(T13:T13))),0)</f>
        <v/>
      </c>
      <c r="U14" s="18">
        <f>IF(AND('Zaman'!U9&gt;2,'Zaman'!U9-2&lt;=5),MIN(INDEX('Vergi'!$F$10:$AR$10,MATCH(2,'Zaman'!$F$9:$AR$9,0))-SUM(F14:T14),MAX(0,'Vergi'!U11-SUM(U13:U13))),0)</f>
        <v/>
      </c>
      <c r="V14" s="18">
        <f>IF(AND('Zaman'!V9&gt;2,'Zaman'!V9-2&lt;=5),MIN(INDEX('Vergi'!$F$10:$AR$10,MATCH(2,'Zaman'!$F$9:$AR$9,0))-SUM(F14:U14),MAX(0,'Vergi'!V11-SUM(V13:V13))),0)</f>
        <v/>
      </c>
      <c r="W14" s="18">
        <f>IF(AND('Zaman'!W9&gt;2,'Zaman'!W9-2&lt;=5),MIN(INDEX('Vergi'!$F$10:$AR$10,MATCH(2,'Zaman'!$F$9:$AR$9,0))-SUM(F14:V14),MAX(0,'Vergi'!W11-SUM(W13:W13))),0)</f>
        <v/>
      </c>
      <c r="X14" s="18">
        <f>IF(AND('Zaman'!X9&gt;2,'Zaman'!X9-2&lt;=5),MIN(INDEX('Vergi'!$F$10:$AR$10,MATCH(2,'Zaman'!$F$9:$AR$9,0))-SUM(F14:W14),MAX(0,'Vergi'!X11-SUM(X13:X13))),0)</f>
        <v/>
      </c>
      <c r="Y14" s="18">
        <f>IF(AND('Zaman'!Y9&gt;2,'Zaman'!Y9-2&lt;=5),MIN(INDEX('Vergi'!$F$10:$AR$10,MATCH(2,'Zaman'!$F$9:$AR$9,0))-SUM(F14:X14),MAX(0,'Vergi'!Y11-SUM(Y13:Y13))),0)</f>
        <v/>
      </c>
      <c r="Z14" s="18">
        <f>IF(AND('Zaman'!Z9&gt;2,'Zaman'!Z9-2&lt;=5),MIN(INDEX('Vergi'!$F$10:$AR$10,MATCH(2,'Zaman'!$F$9:$AR$9,0))-SUM(F14:Y14),MAX(0,'Vergi'!Z11-SUM(Z13:Z13))),0)</f>
        <v/>
      </c>
      <c r="AA14" s="18">
        <f>IF(AND('Zaman'!AA9&gt;2,'Zaman'!AA9-2&lt;=5),MIN(INDEX('Vergi'!$F$10:$AR$10,MATCH(2,'Zaman'!$F$9:$AR$9,0))-SUM(F14:Z14),MAX(0,'Vergi'!AA11-SUM(AA13:AA13))),0)</f>
        <v/>
      </c>
      <c r="AB14" s="18">
        <f>IF(AND('Zaman'!AB9&gt;2,'Zaman'!AB9-2&lt;=5),MIN(INDEX('Vergi'!$F$10:$AR$10,MATCH(2,'Zaman'!$F$9:$AR$9,0))-SUM(F14:AA14),MAX(0,'Vergi'!AB11-SUM(AB13:AB13))),0)</f>
        <v/>
      </c>
      <c r="AC14" s="18">
        <f>IF(AND('Zaman'!AC9&gt;2,'Zaman'!AC9-2&lt;=5),MIN(INDEX('Vergi'!$F$10:$AR$10,MATCH(2,'Zaman'!$F$9:$AR$9,0))-SUM(F14:AB14),MAX(0,'Vergi'!AC11-SUM(AC13:AC13))),0)</f>
        <v/>
      </c>
      <c r="AD14" s="18">
        <f>IF(AND('Zaman'!AD9&gt;2,'Zaman'!AD9-2&lt;=5),MIN(INDEX('Vergi'!$F$10:$AR$10,MATCH(2,'Zaman'!$F$9:$AR$9,0))-SUM(F14:AC14),MAX(0,'Vergi'!AD11-SUM(AD13:AD13))),0)</f>
        <v/>
      </c>
      <c r="AE14" s="18">
        <f>IF(AND('Zaman'!AE9&gt;2,'Zaman'!AE9-2&lt;=5),MIN(INDEX('Vergi'!$F$10:$AR$10,MATCH(2,'Zaman'!$F$9:$AR$9,0))-SUM(F14:AD14),MAX(0,'Vergi'!AE11-SUM(AE13:AE13))),0)</f>
        <v/>
      </c>
      <c r="AF14" s="18">
        <f>IF(AND('Zaman'!AF9&gt;2,'Zaman'!AF9-2&lt;=5),MIN(INDEX('Vergi'!$F$10:$AR$10,MATCH(2,'Zaman'!$F$9:$AR$9,0))-SUM(F14:AE14),MAX(0,'Vergi'!AF11-SUM(AF13:AF13))),0)</f>
        <v/>
      </c>
      <c r="AG14" s="18">
        <f>IF(AND('Zaman'!AG9&gt;2,'Zaman'!AG9-2&lt;=5),MIN(INDEX('Vergi'!$F$10:$AR$10,MATCH(2,'Zaman'!$F$9:$AR$9,0))-SUM(F14:AF14),MAX(0,'Vergi'!AG11-SUM(AG13:AG13))),0)</f>
        <v/>
      </c>
      <c r="AH14" s="18">
        <f>IF(AND('Zaman'!AH9&gt;2,'Zaman'!AH9-2&lt;=5),MIN(INDEX('Vergi'!$F$10:$AR$10,MATCH(2,'Zaman'!$F$9:$AR$9,0))-SUM(F14:AG14),MAX(0,'Vergi'!AH11-SUM(AH13:AH13))),0)</f>
        <v/>
      </c>
      <c r="AI14" s="18">
        <f>IF(AND('Zaman'!AI9&gt;2,'Zaman'!AI9-2&lt;=5),MIN(INDEX('Vergi'!$F$10:$AR$10,MATCH(2,'Zaman'!$F$9:$AR$9,0))-SUM(F14:AH14),MAX(0,'Vergi'!AI11-SUM(AI13:AI13))),0)</f>
        <v/>
      </c>
      <c r="AJ14" s="18">
        <f>IF(AND('Zaman'!AJ9&gt;2,'Zaman'!AJ9-2&lt;=5),MIN(INDEX('Vergi'!$F$10:$AR$10,MATCH(2,'Zaman'!$F$9:$AR$9,0))-SUM(F14:AI14),MAX(0,'Vergi'!AJ11-SUM(AJ13:AJ13))),0)</f>
        <v/>
      </c>
      <c r="AK14" s="18">
        <f>IF(AND('Zaman'!AK9&gt;2,'Zaman'!AK9-2&lt;=5),MIN(INDEX('Vergi'!$F$10:$AR$10,MATCH(2,'Zaman'!$F$9:$AR$9,0))-SUM(F14:AJ14),MAX(0,'Vergi'!AK11-SUM(AK13:AK13))),0)</f>
        <v/>
      </c>
      <c r="AL14" s="18">
        <f>IF(AND('Zaman'!AL9&gt;2,'Zaman'!AL9-2&lt;=5),MIN(INDEX('Vergi'!$F$10:$AR$10,MATCH(2,'Zaman'!$F$9:$AR$9,0))-SUM(F14:AK14),MAX(0,'Vergi'!AL11-SUM(AL13:AL13))),0)</f>
        <v/>
      </c>
      <c r="AM14" s="18">
        <f>IF(AND('Zaman'!AM9&gt;2,'Zaman'!AM9-2&lt;=5),MIN(INDEX('Vergi'!$F$10:$AR$10,MATCH(2,'Zaman'!$F$9:$AR$9,0))-SUM(F14:AL14),MAX(0,'Vergi'!AM11-SUM(AM13:AM13))),0)</f>
        <v/>
      </c>
      <c r="AN14" s="18">
        <f>IF(AND('Zaman'!AN9&gt;2,'Zaman'!AN9-2&lt;=5),MIN(INDEX('Vergi'!$F$10:$AR$10,MATCH(2,'Zaman'!$F$9:$AR$9,0))-SUM(F14:AM14),MAX(0,'Vergi'!AN11-SUM(AN13:AN13))),0)</f>
        <v/>
      </c>
      <c r="AO14" s="18">
        <f>IF(AND('Zaman'!AO9&gt;2,'Zaman'!AO9-2&lt;=5),MIN(INDEX('Vergi'!$F$10:$AR$10,MATCH(2,'Zaman'!$F$9:$AR$9,0))-SUM(F14:AN14),MAX(0,'Vergi'!AO11-SUM(AO13:AO13))),0)</f>
        <v/>
      </c>
      <c r="AP14" s="18">
        <f>IF(AND('Zaman'!AP9&gt;2,'Zaman'!AP9-2&lt;=5),MIN(INDEX('Vergi'!$F$10:$AR$10,MATCH(2,'Zaman'!$F$9:$AR$9,0))-SUM(F14:AO14),MAX(0,'Vergi'!AP11-SUM(AP13:AP13))),0)</f>
        <v/>
      </c>
      <c r="AQ14" s="18">
        <f>IF(AND('Zaman'!AQ9&gt;2,'Zaman'!AQ9-2&lt;=5),MIN(INDEX('Vergi'!$F$10:$AR$10,MATCH(2,'Zaman'!$F$9:$AR$9,0))-SUM(F14:AP14),MAX(0,'Vergi'!AQ11-SUM(AQ13:AQ13))),0)</f>
        <v/>
      </c>
      <c r="AR14" s="18">
        <f>IF(AND('Zaman'!AR9&gt;2,'Zaman'!AR9-2&lt;=5),MIN(INDEX('Vergi'!$F$10:$AR$10,MATCH(2,'Zaman'!$F$9:$AR$9,0))-SUM(F14:AQ14),MAX(0,'Vergi'!AR11-SUM(AR13:AR13))),0)</f>
        <v/>
      </c>
    </row>
    <row r="15">
      <c r="A15" t="inlineStr">
        <is>
          <t>Zarar yılı 3 — kullanım</t>
        </is>
      </c>
      <c r="B15" t="inlineStr">
        <is>
          <t>USD</t>
        </is>
      </c>
      <c r="F15" s="18">
        <f>IF(AND('Zaman'!F9&gt;3,'Zaman'!F9-3&lt;=5),MIN(INDEX('Vergi'!$F$10:$AR$10,MATCH(3,'Zaman'!$F$9:$AR$9,0))-0,MAX(0,'Vergi'!F11-SUM(F13:F14))),0)</f>
        <v/>
      </c>
      <c r="G15" s="18">
        <f>IF(AND('Zaman'!G9&gt;3,'Zaman'!G9-3&lt;=5),MIN(INDEX('Vergi'!$F$10:$AR$10,MATCH(3,'Zaman'!$F$9:$AR$9,0))-SUM(F15:F15),MAX(0,'Vergi'!G11-SUM(G13:G14))),0)</f>
        <v/>
      </c>
      <c r="H15" s="18">
        <f>IF(AND('Zaman'!H9&gt;3,'Zaman'!H9-3&lt;=5),MIN(INDEX('Vergi'!$F$10:$AR$10,MATCH(3,'Zaman'!$F$9:$AR$9,0))-SUM(F15:G15),MAX(0,'Vergi'!H11-SUM(H13:H14))),0)</f>
        <v/>
      </c>
      <c r="I15" s="18">
        <f>IF(AND('Zaman'!I9&gt;3,'Zaman'!I9-3&lt;=5),MIN(INDEX('Vergi'!$F$10:$AR$10,MATCH(3,'Zaman'!$F$9:$AR$9,0))-SUM(F15:H15),MAX(0,'Vergi'!I11-SUM(I13:I14))),0)</f>
        <v/>
      </c>
      <c r="J15" s="18">
        <f>IF(AND('Zaman'!J9&gt;3,'Zaman'!J9-3&lt;=5),MIN(INDEX('Vergi'!$F$10:$AR$10,MATCH(3,'Zaman'!$F$9:$AR$9,0))-SUM(F15:I15),MAX(0,'Vergi'!J11-SUM(J13:J14))),0)</f>
        <v/>
      </c>
      <c r="K15" s="18">
        <f>IF(AND('Zaman'!K9&gt;3,'Zaman'!K9-3&lt;=5),MIN(INDEX('Vergi'!$F$10:$AR$10,MATCH(3,'Zaman'!$F$9:$AR$9,0))-SUM(F15:J15),MAX(0,'Vergi'!K11-SUM(K13:K14))),0)</f>
        <v/>
      </c>
      <c r="L15" s="18">
        <f>IF(AND('Zaman'!L9&gt;3,'Zaman'!L9-3&lt;=5),MIN(INDEX('Vergi'!$F$10:$AR$10,MATCH(3,'Zaman'!$F$9:$AR$9,0))-SUM(F15:K15),MAX(0,'Vergi'!L11-SUM(L13:L14))),0)</f>
        <v/>
      </c>
      <c r="M15" s="18">
        <f>IF(AND('Zaman'!M9&gt;3,'Zaman'!M9-3&lt;=5),MIN(INDEX('Vergi'!$F$10:$AR$10,MATCH(3,'Zaman'!$F$9:$AR$9,0))-SUM(F15:L15),MAX(0,'Vergi'!M11-SUM(M13:M14))),0)</f>
        <v/>
      </c>
      <c r="N15" s="18">
        <f>IF(AND('Zaman'!N9&gt;3,'Zaman'!N9-3&lt;=5),MIN(INDEX('Vergi'!$F$10:$AR$10,MATCH(3,'Zaman'!$F$9:$AR$9,0))-SUM(F15:M15),MAX(0,'Vergi'!N11-SUM(N13:N14))),0)</f>
        <v/>
      </c>
      <c r="O15" s="18">
        <f>IF(AND('Zaman'!O9&gt;3,'Zaman'!O9-3&lt;=5),MIN(INDEX('Vergi'!$F$10:$AR$10,MATCH(3,'Zaman'!$F$9:$AR$9,0))-SUM(F15:N15),MAX(0,'Vergi'!O11-SUM(O13:O14))),0)</f>
        <v/>
      </c>
      <c r="P15" s="18">
        <f>IF(AND('Zaman'!P9&gt;3,'Zaman'!P9-3&lt;=5),MIN(INDEX('Vergi'!$F$10:$AR$10,MATCH(3,'Zaman'!$F$9:$AR$9,0))-SUM(F15:O15),MAX(0,'Vergi'!P11-SUM(P13:P14))),0)</f>
        <v/>
      </c>
      <c r="Q15" s="18">
        <f>IF(AND('Zaman'!Q9&gt;3,'Zaman'!Q9-3&lt;=5),MIN(INDEX('Vergi'!$F$10:$AR$10,MATCH(3,'Zaman'!$F$9:$AR$9,0))-SUM(F15:P15),MAX(0,'Vergi'!Q11-SUM(Q13:Q14))),0)</f>
        <v/>
      </c>
      <c r="R15" s="18">
        <f>IF(AND('Zaman'!R9&gt;3,'Zaman'!R9-3&lt;=5),MIN(INDEX('Vergi'!$F$10:$AR$10,MATCH(3,'Zaman'!$F$9:$AR$9,0))-SUM(F15:Q15),MAX(0,'Vergi'!R11-SUM(R13:R14))),0)</f>
        <v/>
      </c>
      <c r="S15" s="18">
        <f>IF(AND('Zaman'!S9&gt;3,'Zaman'!S9-3&lt;=5),MIN(INDEX('Vergi'!$F$10:$AR$10,MATCH(3,'Zaman'!$F$9:$AR$9,0))-SUM(F15:R15),MAX(0,'Vergi'!S11-SUM(S13:S14))),0)</f>
        <v/>
      </c>
      <c r="T15" s="18">
        <f>IF(AND('Zaman'!T9&gt;3,'Zaman'!T9-3&lt;=5),MIN(INDEX('Vergi'!$F$10:$AR$10,MATCH(3,'Zaman'!$F$9:$AR$9,0))-SUM(F15:S15),MAX(0,'Vergi'!T11-SUM(T13:T14))),0)</f>
        <v/>
      </c>
      <c r="U15" s="18">
        <f>IF(AND('Zaman'!U9&gt;3,'Zaman'!U9-3&lt;=5),MIN(INDEX('Vergi'!$F$10:$AR$10,MATCH(3,'Zaman'!$F$9:$AR$9,0))-SUM(F15:T15),MAX(0,'Vergi'!U11-SUM(U13:U14))),0)</f>
        <v/>
      </c>
      <c r="V15" s="18">
        <f>IF(AND('Zaman'!V9&gt;3,'Zaman'!V9-3&lt;=5),MIN(INDEX('Vergi'!$F$10:$AR$10,MATCH(3,'Zaman'!$F$9:$AR$9,0))-SUM(F15:U15),MAX(0,'Vergi'!V11-SUM(V13:V14))),0)</f>
        <v/>
      </c>
      <c r="W15" s="18">
        <f>IF(AND('Zaman'!W9&gt;3,'Zaman'!W9-3&lt;=5),MIN(INDEX('Vergi'!$F$10:$AR$10,MATCH(3,'Zaman'!$F$9:$AR$9,0))-SUM(F15:V15),MAX(0,'Vergi'!W11-SUM(W13:W14))),0)</f>
        <v/>
      </c>
      <c r="X15" s="18">
        <f>IF(AND('Zaman'!X9&gt;3,'Zaman'!X9-3&lt;=5),MIN(INDEX('Vergi'!$F$10:$AR$10,MATCH(3,'Zaman'!$F$9:$AR$9,0))-SUM(F15:W15),MAX(0,'Vergi'!X11-SUM(X13:X14))),0)</f>
        <v/>
      </c>
      <c r="Y15" s="18">
        <f>IF(AND('Zaman'!Y9&gt;3,'Zaman'!Y9-3&lt;=5),MIN(INDEX('Vergi'!$F$10:$AR$10,MATCH(3,'Zaman'!$F$9:$AR$9,0))-SUM(F15:X15),MAX(0,'Vergi'!Y11-SUM(Y13:Y14))),0)</f>
        <v/>
      </c>
      <c r="Z15" s="18">
        <f>IF(AND('Zaman'!Z9&gt;3,'Zaman'!Z9-3&lt;=5),MIN(INDEX('Vergi'!$F$10:$AR$10,MATCH(3,'Zaman'!$F$9:$AR$9,0))-SUM(F15:Y15),MAX(0,'Vergi'!Z11-SUM(Z13:Z14))),0)</f>
        <v/>
      </c>
      <c r="AA15" s="18">
        <f>IF(AND('Zaman'!AA9&gt;3,'Zaman'!AA9-3&lt;=5),MIN(INDEX('Vergi'!$F$10:$AR$10,MATCH(3,'Zaman'!$F$9:$AR$9,0))-SUM(F15:Z15),MAX(0,'Vergi'!AA11-SUM(AA13:AA14))),0)</f>
        <v/>
      </c>
      <c r="AB15" s="18">
        <f>IF(AND('Zaman'!AB9&gt;3,'Zaman'!AB9-3&lt;=5),MIN(INDEX('Vergi'!$F$10:$AR$10,MATCH(3,'Zaman'!$F$9:$AR$9,0))-SUM(F15:AA15),MAX(0,'Vergi'!AB11-SUM(AB13:AB14))),0)</f>
        <v/>
      </c>
      <c r="AC15" s="18">
        <f>IF(AND('Zaman'!AC9&gt;3,'Zaman'!AC9-3&lt;=5),MIN(INDEX('Vergi'!$F$10:$AR$10,MATCH(3,'Zaman'!$F$9:$AR$9,0))-SUM(F15:AB15),MAX(0,'Vergi'!AC11-SUM(AC13:AC14))),0)</f>
        <v/>
      </c>
      <c r="AD15" s="18">
        <f>IF(AND('Zaman'!AD9&gt;3,'Zaman'!AD9-3&lt;=5),MIN(INDEX('Vergi'!$F$10:$AR$10,MATCH(3,'Zaman'!$F$9:$AR$9,0))-SUM(F15:AC15),MAX(0,'Vergi'!AD11-SUM(AD13:AD14))),0)</f>
        <v/>
      </c>
      <c r="AE15" s="18">
        <f>IF(AND('Zaman'!AE9&gt;3,'Zaman'!AE9-3&lt;=5),MIN(INDEX('Vergi'!$F$10:$AR$10,MATCH(3,'Zaman'!$F$9:$AR$9,0))-SUM(F15:AD15),MAX(0,'Vergi'!AE11-SUM(AE13:AE14))),0)</f>
        <v/>
      </c>
      <c r="AF15" s="18">
        <f>IF(AND('Zaman'!AF9&gt;3,'Zaman'!AF9-3&lt;=5),MIN(INDEX('Vergi'!$F$10:$AR$10,MATCH(3,'Zaman'!$F$9:$AR$9,0))-SUM(F15:AE15),MAX(0,'Vergi'!AF11-SUM(AF13:AF14))),0)</f>
        <v/>
      </c>
      <c r="AG15" s="18">
        <f>IF(AND('Zaman'!AG9&gt;3,'Zaman'!AG9-3&lt;=5),MIN(INDEX('Vergi'!$F$10:$AR$10,MATCH(3,'Zaman'!$F$9:$AR$9,0))-SUM(F15:AF15),MAX(0,'Vergi'!AG11-SUM(AG13:AG14))),0)</f>
        <v/>
      </c>
      <c r="AH15" s="18">
        <f>IF(AND('Zaman'!AH9&gt;3,'Zaman'!AH9-3&lt;=5),MIN(INDEX('Vergi'!$F$10:$AR$10,MATCH(3,'Zaman'!$F$9:$AR$9,0))-SUM(F15:AG15),MAX(0,'Vergi'!AH11-SUM(AH13:AH14))),0)</f>
        <v/>
      </c>
      <c r="AI15" s="18">
        <f>IF(AND('Zaman'!AI9&gt;3,'Zaman'!AI9-3&lt;=5),MIN(INDEX('Vergi'!$F$10:$AR$10,MATCH(3,'Zaman'!$F$9:$AR$9,0))-SUM(F15:AH15),MAX(0,'Vergi'!AI11-SUM(AI13:AI14))),0)</f>
        <v/>
      </c>
      <c r="AJ15" s="18">
        <f>IF(AND('Zaman'!AJ9&gt;3,'Zaman'!AJ9-3&lt;=5),MIN(INDEX('Vergi'!$F$10:$AR$10,MATCH(3,'Zaman'!$F$9:$AR$9,0))-SUM(F15:AI15),MAX(0,'Vergi'!AJ11-SUM(AJ13:AJ14))),0)</f>
        <v/>
      </c>
      <c r="AK15" s="18">
        <f>IF(AND('Zaman'!AK9&gt;3,'Zaman'!AK9-3&lt;=5),MIN(INDEX('Vergi'!$F$10:$AR$10,MATCH(3,'Zaman'!$F$9:$AR$9,0))-SUM(F15:AJ15),MAX(0,'Vergi'!AK11-SUM(AK13:AK14))),0)</f>
        <v/>
      </c>
      <c r="AL15" s="18">
        <f>IF(AND('Zaman'!AL9&gt;3,'Zaman'!AL9-3&lt;=5),MIN(INDEX('Vergi'!$F$10:$AR$10,MATCH(3,'Zaman'!$F$9:$AR$9,0))-SUM(F15:AK15),MAX(0,'Vergi'!AL11-SUM(AL13:AL14))),0)</f>
        <v/>
      </c>
      <c r="AM15" s="18">
        <f>IF(AND('Zaman'!AM9&gt;3,'Zaman'!AM9-3&lt;=5),MIN(INDEX('Vergi'!$F$10:$AR$10,MATCH(3,'Zaman'!$F$9:$AR$9,0))-SUM(F15:AL15),MAX(0,'Vergi'!AM11-SUM(AM13:AM14))),0)</f>
        <v/>
      </c>
      <c r="AN15" s="18">
        <f>IF(AND('Zaman'!AN9&gt;3,'Zaman'!AN9-3&lt;=5),MIN(INDEX('Vergi'!$F$10:$AR$10,MATCH(3,'Zaman'!$F$9:$AR$9,0))-SUM(F15:AM15),MAX(0,'Vergi'!AN11-SUM(AN13:AN14))),0)</f>
        <v/>
      </c>
      <c r="AO15" s="18">
        <f>IF(AND('Zaman'!AO9&gt;3,'Zaman'!AO9-3&lt;=5),MIN(INDEX('Vergi'!$F$10:$AR$10,MATCH(3,'Zaman'!$F$9:$AR$9,0))-SUM(F15:AN15),MAX(0,'Vergi'!AO11-SUM(AO13:AO14))),0)</f>
        <v/>
      </c>
      <c r="AP15" s="18">
        <f>IF(AND('Zaman'!AP9&gt;3,'Zaman'!AP9-3&lt;=5),MIN(INDEX('Vergi'!$F$10:$AR$10,MATCH(3,'Zaman'!$F$9:$AR$9,0))-SUM(F15:AO15),MAX(0,'Vergi'!AP11-SUM(AP13:AP14))),0)</f>
        <v/>
      </c>
      <c r="AQ15" s="18">
        <f>IF(AND('Zaman'!AQ9&gt;3,'Zaman'!AQ9-3&lt;=5),MIN(INDEX('Vergi'!$F$10:$AR$10,MATCH(3,'Zaman'!$F$9:$AR$9,0))-SUM(F15:AP15),MAX(0,'Vergi'!AQ11-SUM(AQ13:AQ14))),0)</f>
        <v/>
      </c>
      <c r="AR15" s="18">
        <f>IF(AND('Zaman'!AR9&gt;3,'Zaman'!AR9-3&lt;=5),MIN(INDEX('Vergi'!$F$10:$AR$10,MATCH(3,'Zaman'!$F$9:$AR$9,0))-SUM(F15:AQ15),MAX(0,'Vergi'!AR11-SUM(AR13:AR14))),0)</f>
        <v/>
      </c>
    </row>
    <row r="16">
      <c r="A16" t="inlineStr">
        <is>
          <t>Zarar yılı 4 — kullanım</t>
        </is>
      </c>
      <c r="B16" t="inlineStr">
        <is>
          <t>USD</t>
        </is>
      </c>
      <c r="F16" s="18">
        <f>IF(AND('Zaman'!F9&gt;4,'Zaman'!F9-4&lt;=5),MIN(INDEX('Vergi'!$F$10:$AR$10,MATCH(4,'Zaman'!$F$9:$AR$9,0))-0,MAX(0,'Vergi'!F11-SUM(F13:F15))),0)</f>
        <v/>
      </c>
      <c r="G16" s="18">
        <f>IF(AND('Zaman'!G9&gt;4,'Zaman'!G9-4&lt;=5),MIN(INDEX('Vergi'!$F$10:$AR$10,MATCH(4,'Zaman'!$F$9:$AR$9,0))-SUM(F16:F16),MAX(0,'Vergi'!G11-SUM(G13:G15))),0)</f>
        <v/>
      </c>
      <c r="H16" s="18">
        <f>IF(AND('Zaman'!H9&gt;4,'Zaman'!H9-4&lt;=5),MIN(INDEX('Vergi'!$F$10:$AR$10,MATCH(4,'Zaman'!$F$9:$AR$9,0))-SUM(F16:G16),MAX(0,'Vergi'!H11-SUM(H13:H15))),0)</f>
        <v/>
      </c>
      <c r="I16" s="18">
        <f>IF(AND('Zaman'!I9&gt;4,'Zaman'!I9-4&lt;=5),MIN(INDEX('Vergi'!$F$10:$AR$10,MATCH(4,'Zaman'!$F$9:$AR$9,0))-SUM(F16:H16),MAX(0,'Vergi'!I11-SUM(I13:I15))),0)</f>
        <v/>
      </c>
      <c r="J16" s="18">
        <f>IF(AND('Zaman'!J9&gt;4,'Zaman'!J9-4&lt;=5),MIN(INDEX('Vergi'!$F$10:$AR$10,MATCH(4,'Zaman'!$F$9:$AR$9,0))-SUM(F16:I16),MAX(0,'Vergi'!J11-SUM(J13:J15))),0)</f>
        <v/>
      </c>
      <c r="K16" s="18">
        <f>IF(AND('Zaman'!K9&gt;4,'Zaman'!K9-4&lt;=5),MIN(INDEX('Vergi'!$F$10:$AR$10,MATCH(4,'Zaman'!$F$9:$AR$9,0))-SUM(F16:J16),MAX(0,'Vergi'!K11-SUM(K13:K15))),0)</f>
        <v/>
      </c>
      <c r="L16" s="18">
        <f>IF(AND('Zaman'!L9&gt;4,'Zaman'!L9-4&lt;=5),MIN(INDEX('Vergi'!$F$10:$AR$10,MATCH(4,'Zaman'!$F$9:$AR$9,0))-SUM(F16:K16),MAX(0,'Vergi'!L11-SUM(L13:L15))),0)</f>
        <v/>
      </c>
      <c r="M16" s="18">
        <f>IF(AND('Zaman'!M9&gt;4,'Zaman'!M9-4&lt;=5),MIN(INDEX('Vergi'!$F$10:$AR$10,MATCH(4,'Zaman'!$F$9:$AR$9,0))-SUM(F16:L16),MAX(0,'Vergi'!M11-SUM(M13:M15))),0)</f>
        <v/>
      </c>
      <c r="N16" s="18">
        <f>IF(AND('Zaman'!N9&gt;4,'Zaman'!N9-4&lt;=5),MIN(INDEX('Vergi'!$F$10:$AR$10,MATCH(4,'Zaman'!$F$9:$AR$9,0))-SUM(F16:M16),MAX(0,'Vergi'!N11-SUM(N13:N15))),0)</f>
        <v/>
      </c>
      <c r="O16" s="18">
        <f>IF(AND('Zaman'!O9&gt;4,'Zaman'!O9-4&lt;=5),MIN(INDEX('Vergi'!$F$10:$AR$10,MATCH(4,'Zaman'!$F$9:$AR$9,0))-SUM(F16:N16),MAX(0,'Vergi'!O11-SUM(O13:O15))),0)</f>
        <v/>
      </c>
      <c r="P16" s="18">
        <f>IF(AND('Zaman'!P9&gt;4,'Zaman'!P9-4&lt;=5),MIN(INDEX('Vergi'!$F$10:$AR$10,MATCH(4,'Zaman'!$F$9:$AR$9,0))-SUM(F16:O16),MAX(0,'Vergi'!P11-SUM(P13:P15))),0)</f>
        <v/>
      </c>
      <c r="Q16" s="18">
        <f>IF(AND('Zaman'!Q9&gt;4,'Zaman'!Q9-4&lt;=5),MIN(INDEX('Vergi'!$F$10:$AR$10,MATCH(4,'Zaman'!$F$9:$AR$9,0))-SUM(F16:P16),MAX(0,'Vergi'!Q11-SUM(Q13:Q15))),0)</f>
        <v/>
      </c>
      <c r="R16" s="18">
        <f>IF(AND('Zaman'!R9&gt;4,'Zaman'!R9-4&lt;=5),MIN(INDEX('Vergi'!$F$10:$AR$10,MATCH(4,'Zaman'!$F$9:$AR$9,0))-SUM(F16:Q16),MAX(0,'Vergi'!R11-SUM(R13:R15))),0)</f>
        <v/>
      </c>
      <c r="S16" s="18">
        <f>IF(AND('Zaman'!S9&gt;4,'Zaman'!S9-4&lt;=5),MIN(INDEX('Vergi'!$F$10:$AR$10,MATCH(4,'Zaman'!$F$9:$AR$9,0))-SUM(F16:R16),MAX(0,'Vergi'!S11-SUM(S13:S15))),0)</f>
        <v/>
      </c>
      <c r="T16" s="18">
        <f>IF(AND('Zaman'!T9&gt;4,'Zaman'!T9-4&lt;=5),MIN(INDEX('Vergi'!$F$10:$AR$10,MATCH(4,'Zaman'!$F$9:$AR$9,0))-SUM(F16:S16),MAX(0,'Vergi'!T11-SUM(T13:T15))),0)</f>
        <v/>
      </c>
      <c r="U16" s="18">
        <f>IF(AND('Zaman'!U9&gt;4,'Zaman'!U9-4&lt;=5),MIN(INDEX('Vergi'!$F$10:$AR$10,MATCH(4,'Zaman'!$F$9:$AR$9,0))-SUM(F16:T16),MAX(0,'Vergi'!U11-SUM(U13:U15))),0)</f>
        <v/>
      </c>
      <c r="V16" s="18">
        <f>IF(AND('Zaman'!V9&gt;4,'Zaman'!V9-4&lt;=5),MIN(INDEX('Vergi'!$F$10:$AR$10,MATCH(4,'Zaman'!$F$9:$AR$9,0))-SUM(F16:U16),MAX(0,'Vergi'!V11-SUM(V13:V15))),0)</f>
        <v/>
      </c>
      <c r="W16" s="18">
        <f>IF(AND('Zaman'!W9&gt;4,'Zaman'!W9-4&lt;=5),MIN(INDEX('Vergi'!$F$10:$AR$10,MATCH(4,'Zaman'!$F$9:$AR$9,0))-SUM(F16:V16),MAX(0,'Vergi'!W11-SUM(W13:W15))),0)</f>
        <v/>
      </c>
      <c r="X16" s="18">
        <f>IF(AND('Zaman'!X9&gt;4,'Zaman'!X9-4&lt;=5),MIN(INDEX('Vergi'!$F$10:$AR$10,MATCH(4,'Zaman'!$F$9:$AR$9,0))-SUM(F16:W16),MAX(0,'Vergi'!X11-SUM(X13:X15))),0)</f>
        <v/>
      </c>
      <c r="Y16" s="18">
        <f>IF(AND('Zaman'!Y9&gt;4,'Zaman'!Y9-4&lt;=5),MIN(INDEX('Vergi'!$F$10:$AR$10,MATCH(4,'Zaman'!$F$9:$AR$9,0))-SUM(F16:X16),MAX(0,'Vergi'!Y11-SUM(Y13:Y15))),0)</f>
        <v/>
      </c>
      <c r="Z16" s="18">
        <f>IF(AND('Zaman'!Z9&gt;4,'Zaman'!Z9-4&lt;=5),MIN(INDEX('Vergi'!$F$10:$AR$10,MATCH(4,'Zaman'!$F$9:$AR$9,0))-SUM(F16:Y16),MAX(0,'Vergi'!Z11-SUM(Z13:Z15))),0)</f>
        <v/>
      </c>
      <c r="AA16" s="18">
        <f>IF(AND('Zaman'!AA9&gt;4,'Zaman'!AA9-4&lt;=5),MIN(INDEX('Vergi'!$F$10:$AR$10,MATCH(4,'Zaman'!$F$9:$AR$9,0))-SUM(F16:Z16),MAX(0,'Vergi'!AA11-SUM(AA13:AA15))),0)</f>
        <v/>
      </c>
      <c r="AB16" s="18">
        <f>IF(AND('Zaman'!AB9&gt;4,'Zaman'!AB9-4&lt;=5),MIN(INDEX('Vergi'!$F$10:$AR$10,MATCH(4,'Zaman'!$F$9:$AR$9,0))-SUM(F16:AA16),MAX(0,'Vergi'!AB11-SUM(AB13:AB15))),0)</f>
        <v/>
      </c>
      <c r="AC16" s="18">
        <f>IF(AND('Zaman'!AC9&gt;4,'Zaman'!AC9-4&lt;=5),MIN(INDEX('Vergi'!$F$10:$AR$10,MATCH(4,'Zaman'!$F$9:$AR$9,0))-SUM(F16:AB16),MAX(0,'Vergi'!AC11-SUM(AC13:AC15))),0)</f>
        <v/>
      </c>
      <c r="AD16" s="18">
        <f>IF(AND('Zaman'!AD9&gt;4,'Zaman'!AD9-4&lt;=5),MIN(INDEX('Vergi'!$F$10:$AR$10,MATCH(4,'Zaman'!$F$9:$AR$9,0))-SUM(F16:AC16),MAX(0,'Vergi'!AD11-SUM(AD13:AD15))),0)</f>
        <v/>
      </c>
      <c r="AE16" s="18">
        <f>IF(AND('Zaman'!AE9&gt;4,'Zaman'!AE9-4&lt;=5),MIN(INDEX('Vergi'!$F$10:$AR$10,MATCH(4,'Zaman'!$F$9:$AR$9,0))-SUM(F16:AD16),MAX(0,'Vergi'!AE11-SUM(AE13:AE15))),0)</f>
        <v/>
      </c>
      <c r="AF16" s="18">
        <f>IF(AND('Zaman'!AF9&gt;4,'Zaman'!AF9-4&lt;=5),MIN(INDEX('Vergi'!$F$10:$AR$10,MATCH(4,'Zaman'!$F$9:$AR$9,0))-SUM(F16:AE16),MAX(0,'Vergi'!AF11-SUM(AF13:AF15))),0)</f>
        <v/>
      </c>
      <c r="AG16" s="18">
        <f>IF(AND('Zaman'!AG9&gt;4,'Zaman'!AG9-4&lt;=5),MIN(INDEX('Vergi'!$F$10:$AR$10,MATCH(4,'Zaman'!$F$9:$AR$9,0))-SUM(F16:AF16),MAX(0,'Vergi'!AG11-SUM(AG13:AG15))),0)</f>
        <v/>
      </c>
      <c r="AH16" s="18">
        <f>IF(AND('Zaman'!AH9&gt;4,'Zaman'!AH9-4&lt;=5),MIN(INDEX('Vergi'!$F$10:$AR$10,MATCH(4,'Zaman'!$F$9:$AR$9,0))-SUM(F16:AG16),MAX(0,'Vergi'!AH11-SUM(AH13:AH15))),0)</f>
        <v/>
      </c>
      <c r="AI16" s="18">
        <f>IF(AND('Zaman'!AI9&gt;4,'Zaman'!AI9-4&lt;=5),MIN(INDEX('Vergi'!$F$10:$AR$10,MATCH(4,'Zaman'!$F$9:$AR$9,0))-SUM(F16:AH16),MAX(0,'Vergi'!AI11-SUM(AI13:AI15))),0)</f>
        <v/>
      </c>
      <c r="AJ16" s="18">
        <f>IF(AND('Zaman'!AJ9&gt;4,'Zaman'!AJ9-4&lt;=5),MIN(INDEX('Vergi'!$F$10:$AR$10,MATCH(4,'Zaman'!$F$9:$AR$9,0))-SUM(F16:AI16),MAX(0,'Vergi'!AJ11-SUM(AJ13:AJ15))),0)</f>
        <v/>
      </c>
      <c r="AK16" s="18">
        <f>IF(AND('Zaman'!AK9&gt;4,'Zaman'!AK9-4&lt;=5),MIN(INDEX('Vergi'!$F$10:$AR$10,MATCH(4,'Zaman'!$F$9:$AR$9,0))-SUM(F16:AJ16),MAX(0,'Vergi'!AK11-SUM(AK13:AK15))),0)</f>
        <v/>
      </c>
      <c r="AL16" s="18">
        <f>IF(AND('Zaman'!AL9&gt;4,'Zaman'!AL9-4&lt;=5),MIN(INDEX('Vergi'!$F$10:$AR$10,MATCH(4,'Zaman'!$F$9:$AR$9,0))-SUM(F16:AK16),MAX(0,'Vergi'!AL11-SUM(AL13:AL15))),0)</f>
        <v/>
      </c>
      <c r="AM16" s="18">
        <f>IF(AND('Zaman'!AM9&gt;4,'Zaman'!AM9-4&lt;=5),MIN(INDEX('Vergi'!$F$10:$AR$10,MATCH(4,'Zaman'!$F$9:$AR$9,0))-SUM(F16:AL16),MAX(0,'Vergi'!AM11-SUM(AM13:AM15))),0)</f>
        <v/>
      </c>
      <c r="AN16" s="18">
        <f>IF(AND('Zaman'!AN9&gt;4,'Zaman'!AN9-4&lt;=5),MIN(INDEX('Vergi'!$F$10:$AR$10,MATCH(4,'Zaman'!$F$9:$AR$9,0))-SUM(F16:AM16),MAX(0,'Vergi'!AN11-SUM(AN13:AN15))),0)</f>
        <v/>
      </c>
      <c r="AO16" s="18">
        <f>IF(AND('Zaman'!AO9&gt;4,'Zaman'!AO9-4&lt;=5),MIN(INDEX('Vergi'!$F$10:$AR$10,MATCH(4,'Zaman'!$F$9:$AR$9,0))-SUM(F16:AN16),MAX(0,'Vergi'!AO11-SUM(AO13:AO15))),0)</f>
        <v/>
      </c>
      <c r="AP16" s="18">
        <f>IF(AND('Zaman'!AP9&gt;4,'Zaman'!AP9-4&lt;=5),MIN(INDEX('Vergi'!$F$10:$AR$10,MATCH(4,'Zaman'!$F$9:$AR$9,0))-SUM(F16:AO16),MAX(0,'Vergi'!AP11-SUM(AP13:AP15))),0)</f>
        <v/>
      </c>
      <c r="AQ16" s="18">
        <f>IF(AND('Zaman'!AQ9&gt;4,'Zaman'!AQ9-4&lt;=5),MIN(INDEX('Vergi'!$F$10:$AR$10,MATCH(4,'Zaman'!$F$9:$AR$9,0))-SUM(F16:AP16),MAX(0,'Vergi'!AQ11-SUM(AQ13:AQ15))),0)</f>
        <v/>
      </c>
      <c r="AR16" s="18">
        <f>IF(AND('Zaman'!AR9&gt;4,'Zaman'!AR9-4&lt;=5),MIN(INDEX('Vergi'!$F$10:$AR$10,MATCH(4,'Zaman'!$F$9:$AR$9,0))-SUM(F16:AQ16),MAX(0,'Vergi'!AR11-SUM(AR13:AR15))),0)</f>
        <v/>
      </c>
    </row>
    <row r="17">
      <c r="A17" t="inlineStr">
        <is>
          <t>Zarar yılı 5 — kullanım</t>
        </is>
      </c>
      <c r="B17" t="inlineStr">
        <is>
          <t>USD</t>
        </is>
      </c>
      <c r="F17" s="18">
        <f>IF(AND('Zaman'!F9&gt;5,'Zaman'!F9-5&lt;=5),MIN(INDEX('Vergi'!$F$10:$AR$10,MATCH(5,'Zaman'!$F$9:$AR$9,0))-0,MAX(0,'Vergi'!F11-SUM(F13:F16))),0)</f>
        <v/>
      </c>
      <c r="G17" s="18">
        <f>IF(AND('Zaman'!G9&gt;5,'Zaman'!G9-5&lt;=5),MIN(INDEX('Vergi'!$F$10:$AR$10,MATCH(5,'Zaman'!$F$9:$AR$9,0))-SUM(F17:F17),MAX(0,'Vergi'!G11-SUM(G13:G16))),0)</f>
        <v/>
      </c>
      <c r="H17" s="18">
        <f>IF(AND('Zaman'!H9&gt;5,'Zaman'!H9-5&lt;=5),MIN(INDEX('Vergi'!$F$10:$AR$10,MATCH(5,'Zaman'!$F$9:$AR$9,0))-SUM(F17:G17),MAX(0,'Vergi'!H11-SUM(H13:H16))),0)</f>
        <v/>
      </c>
      <c r="I17" s="18">
        <f>IF(AND('Zaman'!I9&gt;5,'Zaman'!I9-5&lt;=5),MIN(INDEX('Vergi'!$F$10:$AR$10,MATCH(5,'Zaman'!$F$9:$AR$9,0))-SUM(F17:H17),MAX(0,'Vergi'!I11-SUM(I13:I16))),0)</f>
        <v/>
      </c>
      <c r="J17" s="18">
        <f>IF(AND('Zaman'!J9&gt;5,'Zaman'!J9-5&lt;=5),MIN(INDEX('Vergi'!$F$10:$AR$10,MATCH(5,'Zaman'!$F$9:$AR$9,0))-SUM(F17:I17),MAX(0,'Vergi'!J11-SUM(J13:J16))),0)</f>
        <v/>
      </c>
      <c r="K17" s="18">
        <f>IF(AND('Zaman'!K9&gt;5,'Zaman'!K9-5&lt;=5),MIN(INDEX('Vergi'!$F$10:$AR$10,MATCH(5,'Zaman'!$F$9:$AR$9,0))-SUM(F17:J17),MAX(0,'Vergi'!K11-SUM(K13:K16))),0)</f>
        <v/>
      </c>
      <c r="L17" s="18">
        <f>IF(AND('Zaman'!L9&gt;5,'Zaman'!L9-5&lt;=5),MIN(INDEX('Vergi'!$F$10:$AR$10,MATCH(5,'Zaman'!$F$9:$AR$9,0))-SUM(F17:K17),MAX(0,'Vergi'!L11-SUM(L13:L16))),0)</f>
        <v/>
      </c>
      <c r="M17" s="18">
        <f>IF(AND('Zaman'!M9&gt;5,'Zaman'!M9-5&lt;=5),MIN(INDEX('Vergi'!$F$10:$AR$10,MATCH(5,'Zaman'!$F$9:$AR$9,0))-SUM(F17:L17),MAX(0,'Vergi'!M11-SUM(M13:M16))),0)</f>
        <v/>
      </c>
      <c r="N17" s="18">
        <f>IF(AND('Zaman'!N9&gt;5,'Zaman'!N9-5&lt;=5),MIN(INDEX('Vergi'!$F$10:$AR$10,MATCH(5,'Zaman'!$F$9:$AR$9,0))-SUM(F17:M17),MAX(0,'Vergi'!N11-SUM(N13:N16))),0)</f>
        <v/>
      </c>
      <c r="O17" s="18">
        <f>IF(AND('Zaman'!O9&gt;5,'Zaman'!O9-5&lt;=5),MIN(INDEX('Vergi'!$F$10:$AR$10,MATCH(5,'Zaman'!$F$9:$AR$9,0))-SUM(F17:N17),MAX(0,'Vergi'!O11-SUM(O13:O16))),0)</f>
        <v/>
      </c>
      <c r="P17" s="18">
        <f>IF(AND('Zaman'!P9&gt;5,'Zaman'!P9-5&lt;=5),MIN(INDEX('Vergi'!$F$10:$AR$10,MATCH(5,'Zaman'!$F$9:$AR$9,0))-SUM(F17:O17),MAX(0,'Vergi'!P11-SUM(P13:P16))),0)</f>
        <v/>
      </c>
      <c r="Q17" s="18">
        <f>IF(AND('Zaman'!Q9&gt;5,'Zaman'!Q9-5&lt;=5),MIN(INDEX('Vergi'!$F$10:$AR$10,MATCH(5,'Zaman'!$F$9:$AR$9,0))-SUM(F17:P17),MAX(0,'Vergi'!Q11-SUM(Q13:Q16))),0)</f>
        <v/>
      </c>
      <c r="R17" s="18">
        <f>IF(AND('Zaman'!R9&gt;5,'Zaman'!R9-5&lt;=5),MIN(INDEX('Vergi'!$F$10:$AR$10,MATCH(5,'Zaman'!$F$9:$AR$9,0))-SUM(F17:Q17),MAX(0,'Vergi'!R11-SUM(R13:R16))),0)</f>
        <v/>
      </c>
      <c r="S17" s="18">
        <f>IF(AND('Zaman'!S9&gt;5,'Zaman'!S9-5&lt;=5),MIN(INDEX('Vergi'!$F$10:$AR$10,MATCH(5,'Zaman'!$F$9:$AR$9,0))-SUM(F17:R17),MAX(0,'Vergi'!S11-SUM(S13:S16))),0)</f>
        <v/>
      </c>
      <c r="T17" s="18">
        <f>IF(AND('Zaman'!T9&gt;5,'Zaman'!T9-5&lt;=5),MIN(INDEX('Vergi'!$F$10:$AR$10,MATCH(5,'Zaman'!$F$9:$AR$9,0))-SUM(F17:S17),MAX(0,'Vergi'!T11-SUM(T13:T16))),0)</f>
        <v/>
      </c>
      <c r="U17" s="18">
        <f>IF(AND('Zaman'!U9&gt;5,'Zaman'!U9-5&lt;=5),MIN(INDEX('Vergi'!$F$10:$AR$10,MATCH(5,'Zaman'!$F$9:$AR$9,0))-SUM(F17:T17),MAX(0,'Vergi'!U11-SUM(U13:U16))),0)</f>
        <v/>
      </c>
      <c r="V17" s="18">
        <f>IF(AND('Zaman'!V9&gt;5,'Zaman'!V9-5&lt;=5),MIN(INDEX('Vergi'!$F$10:$AR$10,MATCH(5,'Zaman'!$F$9:$AR$9,0))-SUM(F17:U17),MAX(0,'Vergi'!V11-SUM(V13:V16))),0)</f>
        <v/>
      </c>
      <c r="W17" s="18">
        <f>IF(AND('Zaman'!W9&gt;5,'Zaman'!W9-5&lt;=5),MIN(INDEX('Vergi'!$F$10:$AR$10,MATCH(5,'Zaman'!$F$9:$AR$9,0))-SUM(F17:V17),MAX(0,'Vergi'!W11-SUM(W13:W16))),0)</f>
        <v/>
      </c>
      <c r="X17" s="18">
        <f>IF(AND('Zaman'!X9&gt;5,'Zaman'!X9-5&lt;=5),MIN(INDEX('Vergi'!$F$10:$AR$10,MATCH(5,'Zaman'!$F$9:$AR$9,0))-SUM(F17:W17),MAX(0,'Vergi'!X11-SUM(X13:X16))),0)</f>
        <v/>
      </c>
      <c r="Y17" s="18">
        <f>IF(AND('Zaman'!Y9&gt;5,'Zaman'!Y9-5&lt;=5),MIN(INDEX('Vergi'!$F$10:$AR$10,MATCH(5,'Zaman'!$F$9:$AR$9,0))-SUM(F17:X17),MAX(0,'Vergi'!Y11-SUM(Y13:Y16))),0)</f>
        <v/>
      </c>
      <c r="Z17" s="18">
        <f>IF(AND('Zaman'!Z9&gt;5,'Zaman'!Z9-5&lt;=5),MIN(INDEX('Vergi'!$F$10:$AR$10,MATCH(5,'Zaman'!$F$9:$AR$9,0))-SUM(F17:Y17),MAX(0,'Vergi'!Z11-SUM(Z13:Z16))),0)</f>
        <v/>
      </c>
      <c r="AA17" s="18">
        <f>IF(AND('Zaman'!AA9&gt;5,'Zaman'!AA9-5&lt;=5),MIN(INDEX('Vergi'!$F$10:$AR$10,MATCH(5,'Zaman'!$F$9:$AR$9,0))-SUM(F17:Z17),MAX(0,'Vergi'!AA11-SUM(AA13:AA16))),0)</f>
        <v/>
      </c>
      <c r="AB17" s="18">
        <f>IF(AND('Zaman'!AB9&gt;5,'Zaman'!AB9-5&lt;=5),MIN(INDEX('Vergi'!$F$10:$AR$10,MATCH(5,'Zaman'!$F$9:$AR$9,0))-SUM(F17:AA17),MAX(0,'Vergi'!AB11-SUM(AB13:AB16))),0)</f>
        <v/>
      </c>
      <c r="AC17" s="18">
        <f>IF(AND('Zaman'!AC9&gt;5,'Zaman'!AC9-5&lt;=5),MIN(INDEX('Vergi'!$F$10:$AR$10,MATCH(5,'Zaman'!$F$9:$AR$9,0))-SUM(F17:AB17),MAX(0,'Vergi'!AC11-SUM(AC13:AC16))),0)</f>
        <v/>
      </c>
      <c r="AD17" s="18">
        <f>IF(AND('Zaman'!AD9&gt;5,'Zaman'!AD9-5&lt;=5),MIN(INDEX('Vergi'!$F$10:$AR$10,MATCH(5,'Zaman'!$F$9:$AR$9,0))-SUM(F17:AC17),MAX(0,'Vergi'!AD11-SUM(AD13:AD16))),0)</f>
        <v/>
      </c>
      <c r="AE17" s="18">
        <f>IF(AND('Zaman'!AE9&gt;5,'Zaman'!AE9-5&lt;=5),MIN(INDEX('Vergi'!$F$10:$AR$10,MATCH(5,'Zaman'!$F$9:$AR$9,0))-SUM(F17:AD17),MAX(0,'Vergi'!AE11-SUM(AE13:AE16))),0)</f>
        <v/>
      </c>
      <c r="AF17" s="18">
        <f>IF(AND('Zaman'!AF9&gt;5,'Zaman'!AF9-5&lt;=5),MIN(INDEX('Vergi'!$F$10:$AR$10,MATCH(5,'Zaman'!$F$9:$AR$9,0))-SUM(F17:AE17),MAX(0,'Vergi'!AF11-SUM(AF13:AF16))),0)</f>
        <v/>
      </c>
      <c r="AG17" s="18">
        <f>IF(AND('Zaman'!AG9&gt;5,'Zaman'!AG9-5&lt;=5),MIN(INDEX('Vergi'!$F$10:$AR$10,MATCH(5,'Zaman'!$F$9:$AR$9,0))-SUM(F17:AF17),MAX(0,'Vergi'!AG11-SUM(AG13:AG16))),0)</f>
        <v/>
      </c>
      <c r="AH17" s="18">
        <f>IF(AND('Zaman'!AH9&gt;5,'Zaman'!AH9-5&lt;=5),MIN(INDEX('Vergi'!$F$10:$AR$10,MATCH(5,'Zaman'!$F$9:$AR$9,0))-SUM(F17:AG17),MAX(0,'Vergi'!AH11-SUM(AH13:AH16))),0)</f>
        <v/>
      </c>
      <c r="AI17" s="18">
        <f>IF(AND('Zaman'!AI9&gt;5,'Zaman'!AI9-5&lt;=5),MIN(INDEX('Vergi'!$F$10:$AR$10,MATCH(5,'Zaman'!$F$9:$AR$9,0))-SUM(F17:AH17),MAX(0,'Vergi'!AI11-SUM(AI13:AI16))),0)</f>
        <v/>
      </c>
      <c r="AJ17" s="18">
        <f>IF(AND('Zaman'!AJ9&gt;5,'Zaman'!AJ9-5&lt;=5),MIN(INDEX('Vergi'!$F$10:$AR$10,MATCH(5,'Zaman'!$F$9:$AR$9,0))-SUM(F17:AI17),MAX(0,'Vergi'!AJ11-SUM(AJ13:AJ16))),0)</f>
        <v/>
      </c>
      <c r="AK17" s="18">
        <f>IF(AND('Zaman'!AK9&gt;5,'Zaman'!AK9-5&lt;=5),MIN(INDEX('Vergi'!$F$10:$AR$10,MATCH(5,'Zaman'!$F$9:$AR$9,0))-SUM(F17:AJ17),MAX(0,'Vergi'!AK11-SUM(AK13:AK16))),0)</f>
        <v/>
      </c>
      <c r="AL17" s="18">
        <f>IF(AND('Zaman'!AL9&gt;5,'Zaman'!AL9-5&lt;=5),MIN(INDEX('Vergi'!$F$10:$AR$10,MATCH(5,'Zaman'!$F$9:$AR$9,0))-SUM(F17:AK17),MAX(0,'Vergi'!AL11-SUM(AL13:AL16))),0)</f>
        <v/>
      </c>
      <c r="AM17" s="18">
        <f>IF(AND('Zaman'!AM9&gt;5,'Zaman'!AM9-5&lt;=5),MIN(INDEX('Vergi'!$F$10:$AR$10,MATCH(5,'Zaman'!$F$9:$AR$9,0))-SUM(F17:AL17),MAX(0,'Vergi'!AM11-SUM(AM13:AM16))),0)</f>
        <v/>
      </c>
      <c r="AN17" s="18">
        <f>IF(AND('Zaman'!AN9&gt;5,'Zaman'!AN9-5&lt;=5),MIN(INDEX('Vergi'!$F$10:$AR$10,MATCH(5,'Zaman'!$F$9:$AR$9,0))-SUM(F17:AM17),MAX(0,'Vergi'!AN11-SUM(AN13:AN16))),0)</f>
        <v/>
      </c>
      <c r="AO17" s="18">
        <f>IF(AND('Zaman'!AO9&gt;5,'Zaman'!AO9-5&lt;=5),MIN(INDEX('Vergi'!$F$10:$AR$10,MATCH(5,'Zaman'!$F$9:$AR$9,0))-SUM(F17:AN17),MAX(0,'Vergi'!AO11-SUM(AO13:AO16))),0)</f>
        <v/>
      </c>
      <c r="AP17" s="18">
        <f>IF(AND('Zaman'!AP9&gt;5,'Zaman'!AP9-5&lt;=5),MIN(INDEX('Vergi'!$F$10:$AR$10,MATCH(5,'Zaman'!$F$9:$AR$9,0))-SUM(F17:AO17),MAX(0,'Vergi'!AP11-SUM(AP13:AP16))),0)</f>
        <v/>
      </c>
      <c r="AQ17" s="18">
        <f>IF(AND('Zaman'!AQ9&gt;5,'Zaman'!AQ9-5&lt;=5),MIN(INDEX('Vergi'!$F$10:$AR$10,MATCH(5,'Zaman'!$F$9:$AR$9,0))-SUM(F17:AP17),MAX(0,'Vergi'!AQ11-SUM(AQ13:AQ16))),0)</f>
        <v/>
      </c>
      <c r="AR17" s="18">
        <f>IF(AND('Zaman'!AR9&gt;5,'Zaman'!AR9-5&lt;=5),MIN(INDEX('Vergi'!$F$10:$AR$10,MATCH(5,'Zaman'!$F$9:$AR$9,0))-SUM(F17:AQ17),MAX(0,'Vergi'!AR11-SUM(AR13:AR16))),0)</f>
        <v/>
      </c>
    </row>
    <row r="18">
      <c r="A18" t="inlineStr">
        <is>
          <t>Zarar yılı 6 — kullanım</t>
        </is>
      </c>
      <c r="B18" t="inlineStr">
        <is>
          <t>USD</t>
        </is>
      </c>
      <c r="F18" s="18">
        <f>IF(AND('Zaman'!F9&gt;6,'Zaman'!F9-6&lt;=5),MIN(INDEX('Vergi'!$F$10:$AR$10,MATCH(6,'Zaman'!$F$9:$AR$9,0))-0,MAX(0,'Vergi'!F11-SUM(F13:F17))),0)</f>
        <v/>
      </c>
      <c r="G18" s="18">
        <f>IF(AND('Zaman'!G9&gt;6,'Zaman'!G9-6&lt;=5),MIN(INDEX('Vergi'!$F$10:$AR$10,MATCH(6,'Zaman'!$F$9:$AR$9,0))-SUM(F18:F18),MAX(0,'Vergi'!G11-SUM(G13:G17))),0)</f>
        <v/>
      </c>
      <c r="H18" s="18">
        <f>IF(AND('Zaman'!H9&gt;6,'Zaman'!H9-6&lt;=5),MIN(INDEX('Vergi'!$F$10:$AR$10,MATCH(6,'Zaman'!$F$9:$AR$9,0))-SUM(F18:G18),MAX(0,'Vergi'!H11-SUM(H13:H17))),0)</f>
        <v/>
      </c>
      <c r="I18" s="18">
        <f>IF(AND('Zaman'!I9&gt;6,'Zaman'!I9-6&lt;=5),MIN(INDEX('Vergi'!$F$10:$AR$10,MATCH(6,'Zaman'!$F$9:$AR$9,0))-SUM(F18:H18),MAX(0,'Vergi'!I11-SUM(I13:I17))),0)</f>
        <v/>
      </c>
      <c r="J18" s="18">
        <f>IF(AND('Zaman'!J9&gt;6,'Zaman'!J9-6&lt;=5),MIN(INDEX('Vergi'!$F$10:$AR$10,MATCH(6,'Zaman'!$F$9:$AR$9,0))-SUM(F18:I18),MAX(0,'Vergi'!J11-SUM(J13:J17))),0)</f>
        <v/>
      </c>
      <c r="K18" s="18">
        <f>IF(AND('Zaman'!K9&gt;6,'Zaman'!K9-6&lt;=5),MIN(INDEX('Vergi'!$F$10:$AR$10,MATCH(6,'Zaman'!$F$9:$AR$9,0))-SUM(F18:J18),MAX(0,'Vergi'!K11-SUM(K13:K17))),0)</f>
        <v/>
      </c>
      <c r="L18" s="18">
        <f>IF(AND('Zaman'!L9&gt;6,'Zaman'!L9-6&lt;=5),MIN(INDEX('Vergi'!$F$10:$AR$10,MATCH(6,'Zaman'!$F$9:$AR$9,0))-SUM(F18:K18),MAX(0,'Vergi'!L11-SUM(L13:L17))),0)</f>
        <v/>
      </c>
      <c r="M18" s="18">
        <f>IF(AND('Zaman'!M9&gt;6,'Zaman'!M9-6&lt;=5),MIN(INDEX('Vergi'!$F$10:$AR$10,MATCH(6,'Zaman'!$F$9:$AR$9,0))-SUM(F18:L18),MAX(0,'Vergi'!M11-SUM(M13:M17))),0)</f>
        <v/>
      </c>
      <c r="N18" s="18">
        <f>IF(AND('Zaman'!N9&gt;6,'Zaman'!N9-6&lt;=5),MIN(INDEX('Vergi'!$F$10:$AR$10,MATCH(6,'Zaman'!$F$9:$AR$9,0))-SUM(F18:M18),MAX(0,'Vergi'!N11-SUM(N13:N17))),0)</f>
        <v/>
      </c>
      <c r="O18" s="18">
        <f>IF(AND('Zaman'!O9&gt;6,'Zaman'!O9-6&lt;=5),MIN(INDEX('Vergi'!$F$10:$AR$10,MATCH(6,'Zaman'!$F$9:$AR$9,0))-SUM(F18:N18),MAX(0,'Vergi'!O11-SUM(O13:O17))),0)</f>
        <v/>
      </c>
      <c r="P18" s="18">
        <f>IF(AND('Zaman'!P9&gt;6,'Zaman'!P9-6&lt;=5),MIN(INDEX('Vergi'!$F$10:$AR$10,MATCH(6,'Zaman'!$F$9:$AR$9,0))-SUM(F18:O18),MAX(0,'Vergi'!P11-SUM(P13:P17))),0)</f>
        <v/>
      </c>
      <c r="Q18" s="18">
        <f>IF(AND('Zaman'!Q9&gt;6,'Zaman'!Q9-6&lt;=5),MIN(INDEX('Vergi'!$F$10:$AR$10,MATCH(6,'Zaman'!$F$9:$AR$9,0))-SUM(F18:P18),MAX(0,'Vergi'!Q11-SUM(Q13:Q17))),0)</f>
        <v/>
      </c>
      <c r="R18" s="18">
        <f>IF(AND('Zaman'!R9&gt;6,'Zaman'!R9-6&lt;=5),MIN(INDEX('Vergi'!$F$10:$AR$10,MATCH(6,'Zaman'!$F$9:$AR$9,0))-SUM(F18:Q18),MAX(0,'Vergi'!R11-SUM(R13:R17))),0)</f>
        <v/>
      </c>
      <c r="S18" s="18">
        <f>IF(AND('Zaman'!S9&gt;6,'Zaman'!S9-6&lt;=5),MIN(INDEX('Vergi'!$F$10:$AR$10,MATCH(6,'Zaman'!$F$9:$AR$9,0))-SUM(F18:R18),MAX(0,'Vergi'!S11-SUM(S13:S17))),0)</f>
        <v/>
      </c>
      <c r="T18" s="18">
        <f>IF(AND('Zaman'!T9&gt;6,'Zaman'!T9-6&lt;=5),MIN(INDEX('Vergi'!$F$10:$AR$10,MATCH(6,'Zaman'!$F$9:$AR$9,0))-SUM(F18:S18),MAX(0,'Vergi'!T11-SUM(T13:T17))),0)</f>
        <v/>
      </c>
      <c r="U18" s="18">
        <f>IF(AND('Zaman'!U9&gt;6,'Zaman'!U9-6&lt;=5),MIN(INDEX('Vergi'!$F$10:$AR$10,MATCH(6,'Zaman'!$F$9:$AR$9,0))-SUM(F18:T18),MAX(0,'Vergi'!U11-SUM(U13:U17))),0)</f>
        <v/>
      </c>
      <c r="V18" s="18">
        <f>IF(AND('Zaman'!V9&gt;6,'Zaman'!V9-6&lt;=5),MIN(INDEX('Vergi'!$F$10:$AR$10,MATCH(6,'Zaman'!$F$9:$AR$9,0))-SUM(F18:U18),MAX(0,'Vergi'!V11-SUM(V13:V17))),0)</f>
        <v/>
      </c>
      <c r="W18" s="18">
        <f>IF(AND('Zaman'!W9&gt;6,'Zaman'!W9-6&lt;=5),MIN(INDEX('Vergi'!$F$10:$AR$10,MATCH(6,'Zaman'!$F$9:$AR$9,0))-SUM(F18:V18),MAX(0,'Vergi'!W11-SUM(W13:W17))),0)</f>
        <v/>
      </c>
      <c r="X18" s="18">
        <f>IF(AND('Zaman'!X9&gt;6,'Zaman'!X9-6&lt;=5),MIN(INDEX('Vergi'!$F$10:$AR$10,MATCH(6,'Zaman'!$F$9:$AR$9,0))-SUM(F18:W18),MAX(0,'Vergi'!X11-SUM(X13:X17))),0)</f>
        <v/>
      </c>
      <c r="Y18" s="18">
        <f>IF(AND('Zaman'!Y9&gt;6,'Zaman'!Y9-6&lt;=5),MIN(INDEX('Vergi'!$F$10:$AR$10,MATCH(6,'Zaman'!$F$9:$AR$9,0))-SUM(F18:X18),MAX(0,'Vergi'!Y11-SUM(Y13:Y17))),0)</f>
        <v/>
      </c>
      <c r="Z18" s="18">
        <f>IF(AND('Zaman'!Z9&gt;6,'Zaman'!Z9-6&lt;=5),MIN(INDEX('Vergi'!$F$10:$AR$10,MATCH(6,'Zaman'!$F$9:$AR$9,0))-SUM(F18:Y18),MAX(0,'Vergi'!Z11-SUM(Z13:Z17))),0)</f>
        <v/>
      </c>
      <c r="AA18" s="18">
        <f>IF(AND('Zaman'!AA9&gt;6,'Zaman'!AA9-6&lt;=5),MIN(INDEX('Vergi'!$F$10:$AR$10,MATCH(6,'Zaman'!$F$9:$AR$9,0))-SUM(F18:Z18),MAX(0,'Vergi'!AA11-SUM(AA13:AA17))),0)</f>
        <v/>
      </c>
      <c r="AB18" s="18">
        <f>IF(AND('Zaman'!AB9&gt;6,'Zaman'!AB9-6&lt;=5),MIN(INDEX('Vergi'!$F$10:$AR$10,MATCH(6,'Zaman'!$F$9:$AR$9,0))-SUM(F18:AA18),MAX(0,'Vergi'!AB11-SUM(AB13:AB17))),0)</f>
        <v/>
      </c>
      <c r="AC18" s="18">
        <f>IF(AND('Zaman'!AC9&gt;6,'Zaman'!AC9-6&lt;=5),MIN(INDEX('Vergi'!$F$10:$AR$10,MATCH(6,'Zaman'!$F$9:$AR$9,0))-SUM(F18:AB18),MAX(0,'Vergi'!AC11-SUM(AC13:AC17))),0)</f>
        <v/>
      </c>
      <c r="AD18" s="18">
        <f>IF(AND('Zaman'!AD9&gt;6,'Zaman'!AD9-6&lt;=5),MIN(INDEX('Vergi'!$F$10:$AR$10,MATCH(6,'Zaman'!$F$9:$AR$9,0))-SUM(F18:AC18),MAX(0,'Vergi'!AD11-SUM(AD13:AD17))),0)</f>
        <v/>
      </c>
      <c r="AE18" s="18">
        <f>IF(AND('Zaman'!AE9&gt;6,'Zaman'!AE9-6&lt;=5),MIN(INDEX('Vergi'!$F$10:$AR$10,MATCH(6,'Zaman'!$F$9:$AR$9,0))-SUM(F18:AD18),MAX(0,'Vergi'!AE11-SUM(AE13:AE17))),0)</f>
        <v/>
      </c>
      <c r="AF18" s="18">
        <f>IF(AND('Zaman'!AF9&gt;6,'Zaman'!AF9-6&lt;=5),MIN(INDEX('Vergi'!$F$10:$AR$10,MATCH(6,'Zaman'!$F$9:$AR$9,0))-SUM(F18:AE18),MAX(0,'Vergi'!AF11-SUM(AF13:AF17))),0)</f>
        <v/>
      </c>
      <c r="AG18" s="18">
        <f>IF(AND('Zaman'!AG9&gt;6,'Zaman'!AG9-6&lt;=5),MIN(INDEX('Vergi'!$F$10:$AR$10,MATCH(6,'Zaman'!$F$9:$AR$9,0))-SUM(F18:AF18),MAX(0,'Vergi'!AG11-SUM(AG13:AG17))),0)</f>
        <v/>
      </c>
      <c r="AH18" s="18">
        <f>IF(AND('Zaman'!AH9&gt;6,'Zaman'!AH9-6&lt;=5),MIN(INDEX('Vergi'!$F$10:$AR$10,MATCH(6,'Zaman'!$F$9:$AR$9,0))-SUM(F18:AG18),MAX(0,'Vergi'!AH11-SUM(AH13:AH17))),0)</f>
        <v/>
      </c>
      <c r="AI18" s="18">
        <f>IF(AND('Zaman'!AI9&gt;6,'Zaman'!AI9-6&lt;=5),MIN(INDEX('Vergi'!$F$10:$AR$10,MATCH(6,'Zaman'!$F$9:$AR$9,0))-SUM(F18:AH18),MAX(0,'Vergi'!AI11-SUM(AI13:AI17))),0)</f>
        <v/>
      </c>
      <c r="AJ18" s="18">
        <f>IF(AND('Zaman'!AJ9&gt;6,'Zaman'!AJ9-6&lt;=5),MIN(INDEX('Vergi'!$F$10:$AR$10,MATCH(6,'Zaman'!$F$9:$AR$9,0))-SUM(F18:AI18),MAX(0,'Vergi'!AJ11-SUM(AJ13:AJ17))),0)</f>
        <v/>
      </c>
      <c r="AK18" s="18">
        <f>IF(AND('Zaman'!AK9&gt;6,'Zaman'!AK9-6&lt;=5),MIN(INDEX('Vergi'!$F$10:$AR$10,MATCH(6,'Zaman'!$F$9:$AR$9,0))-SUM(F18:AJ18),MAX(0,'Vergi'!AK11-SUM(AK13:AK17))),0)</f>
        <v/>
      </c>
      <c r="AL18" s="18">
        <f>IF(AND('Zaman'!AL9&gt;6,'Zaman'!AL9-6&lt;=5),MIN(INDEX('Vergi'!$F$10:$AR$10,MATCH(6,'Zaman'!$F$9:$AR$9,0))-SUM(F18:AK18),MAX(0,'Vergi'!AL11-SUM(AL13:AL17))),0)</f>
        <v/>
      </c>
      <c r="AM18" s="18">
        <f>IF(AND('Zaman'!AM9&gt;6,'Zaman'!AM9-6&lt;=5),MIN(INDEX('Vergi'!$F$10:$AR$10,MATCH(6,'Zaman'!$F$9:$AR$9,0))-SUM(F18:AL18),MAX(0,'Vergi'!AM11-SUM(AM13:AM17))),0)</f>
        <v/>
      </c>
      <c r="AN18" s="18">
        <f>IF(AND('Zaman'!AN9&gt;6,'Zaman'!AN9-6&lt;=5),MIN(INDEX('Vergi'!$F$10:$AR$10,MATCH(6,'Zaman'!$F$9:$AR$9,0))-SUM(F18:AM18),MAX(0,'Vergi'!AN11-SUM(AN13:AN17))),0)</f>
        <v/>
      </c>
      <c r="AO18" s="18">
        <f>IF(AND('Zaman'!AO9&gt;6,'Zaman'!AO9-6&lt;=5),MIN(INDEX('Vergi'!$F$10:$AR$10,MATCH(6,'Zaman'!$F$9:$AR$9,0))-SUM(F18:AN18),MAX(0,'Vergi'!AO11-SUM(AO13:AO17))),0)</f>
        <v/>
      </c>
      <c r="AP18" s="18">
        <f>IF(AND('Zaman'!AP9&gt;6,'Zaman'!AP9-6&lt;=5),MIN(INDEX('Vergi'!$F$10:$AR$10,MATCH(6,'Zaman'!$F$9:$AR$9,0))-SUM(F18:AO18),MAX(0,'Vergi'!AP11-SUM(AP13:AP17))),0)</f>
        <v/>
      </c>
      <c r="AQ18" s="18">
        <f>IF(AND('Zaman'!AQ9&gt;6,'Zaman'!AQ9-6&lt;=5),MIN(INDEX('Vergi'!$F$10:$AR$10,MATCH(6,'Zaman'!$F$9:$AR$9,0))-SUM(F18:AP18),MAX(0,'Vergi'!AQ11-SUM(AQ13:AQ17))),0)</f>
        <v/>
      </c>
      <c r="AR18" s="18">
        <f>IF(AND('Zaman'!AR9&gt;6,'Zaman'!AR9-6&lt;=5),MIN(INDEX('Vergi'!$F$10:$AR$10,MATCH(6,'Zaman'!$F$9:$AR$9,0))-SUM(F18:AQ18),MAX(0,'Vergi'!AR11-SUM(AR13:AR17))),0)</f>
        <v/>
      </c>
    </row>
    <row r="19">
      <c r="A19" t="inlineStr">
        <is>
          <t>Zarar yılı 7 — kullanım</t>
        </is>
      </c>
      <c r="B19" t="inlineStr">
        <is>
          <t>USD</t>
        </is>
      </c>
      <c r="F19" s="18">
        <f>IF(AND('Zaman'!F9&gt;7,'Zaman'!F9-7&lt;=5),MIN(INDEX('Vergi'!$F$10:$AR$10,MATCH(7,'Zaman'!$F$9:$AR$9,0))-0,MAX(0,'Vergi'!F11-SUM(F13:F18))),0)</f>
        <v/>
      </c>
      <c r="G19" s="18">
        <f>IF(AND('Zaman'!G9&gt;7,'Zaman'!G9-7&lt;=5),MIN(INDEX('Vergi'!$F$10:$AR$10,MATCH(7,'Zaman'!$F$9:$AR$9,0))-SUM(F19:F19),MAX(0,'Vergi'!G11-SUM(G13:G18))),0)</f>
        <v/>
      </c>
      <c r="H19" s="18">
        <f>IF(AND('Zaman'!H9&gt;7,'Zaman'!H9-7&lt;=5),MIN(INDEX('Vergi'!$F$10:$AR$10,MATCH(7,'Zaman'!$F$9:$AR$9,0))-SUM(F19:G19),MAX(0,'Vergi'!H11-SUM(H13:H18))),0)</f>
        <v/>
      </c>
      <c r="I19" s="18">
        <f>IF(AND('Zaman'!I9&gt;7,'Zaman'!I9-7&lt;=5),MIN(INDEX('Vergi'!$F$10:$AR$10,MATCH(7,'Zaman'!$F$9:$AR$9,0))-SUM(F19:H19),MAX(0,'Vergi'!I11-SUM(I13:I18))),0)</f>
        <v/>
      </c>
      <c r="J19" s="18">
        <f>IF(AND('Zaman'!J9&gt;7,'Zaman'!J9-7&lt;=5),MIN(INDEX('Vergi'!$F$10:$AR$10,MATCH(7,'Zaman'!$F$9:$AR$9,0))-SUM(F19:I19),MAX(0,'Vergi'!J11-SUM(J13:J18))),0)</f>
        <v/>
      </c>
      <c r="K19" s="18">
        <f>IF(AND('Zaman'!K9&gt;7,'Zaman'!K9-7&lt;=5),MIN(INDEX('Vergi'!$F$10:$AR$10,MATCH(7,'Zaman'!$F$9:$AR$9,0))-SUM(F19:J19),MAX(0,'Vergi'!K11-SUM(K13:K18))),0)</f>
        <v/>
      </c>
      <c r="L19" s="18">
        <f>IF(AND('Zaman'!L9&gt;7,'Zaman'!L9-7&lt;=5),MIN(INDEX('Vergi'!$F$10:$AR$10,MATCH(7,'Zaman'!$F$9:$AR$9,0))-SUM(F19:K19),MAX(0,'Vergi'!L11-SUM(L13:L18))),0)</f>
        <v/>
      </c>
      <c r="M19" s="18">
        <f>IF(AND('Zaman'!M9&gt;7,'Zaman'!M9-7&lt;=5),MIN(INDEX('Vergi'!$F$10:$AR$10,MATCH(7,'Zaman'!$F$9:$AR$9,0))-SUM(F19:L19),MAX(0,'Vergi'!M11-SUM(M13:M18))),0)</f>
        <v/>
      </c>
      <c r="N19" s="18">
        <f>IF(AND('Zaman'!N9&gt;7,'Zaman'!N9-7&lt;=5),MIN(INDEX('Vergi'!$F$10:$AR$10,MATCH(7,'Zaman'!$F$9:$AR$9,0))-SUM(F19:M19),MAX(0,'Vergi'!N11-SUM(N13:N18))),0)</f>
        <v/>
      </c>
      <c r="O19" s="18">
        <f>IF(AND('Zaman'!O9&gt;7,'Zaman'!O9-7&lt;=5),MIN(INDEX('Vergi'!$F$10:$AR$10,MATCH(7,'Zaman'!$F$9:$AR$9,0))-SUM(F19:N19),MAX(0,'Vergi'!O11-SUM(O13:O18))),0)</f>
        <v/>
      </c>
      <c r="P19" s="18">
        <f>IF(AND('Zaman'!P9&gt;7,'Zaman'!P9-7&lt;=5),MIN(INDEX('Vergi'!$F$10:$AR$10,MATCH(7,'Zaman'!$F$9:$AR$9,0))-SUM(F19:O19),MAX(0,'Vergi'!P11-SUM(P13:P18))),0)</f>
        <v/>
      </c>
      <c r="Q19" s="18">
        <f>IF(AND('Zaman'!Q9&gt;7,'Zaman'!Q9-7&lt;=5),MIN(INDEX('Vergi'!$F$10:$AR$10,MATCH(7,'Zaman'!$F$9:$AR$9,0))-SUM(F19:P19),MAX(0,'Vergi'!Q11-SUM(Q13:Q18))),0)</f>
        <v/>
      </c>
      <c r="R19" s="18">
        <f>IF(AND('Zaman'!R9&gt;7,'Zaman'!R9-7&lt;=5),MIN(INDEX('Vergi'!$F$10:$AR$10,MATCH(7,'Zaman'!$F$9:$AR$9,0))-SUM(F19:Q19),MAX(0,'Vergi'!R11-SUM(R13:R18))),0)</f>
        <v/>
      </c>
      <c r="S19" s="18">
        <f>IF(AND('Zaman'!S9&gt;7,'Zaman'!S9-7&lt;=5),MIN(INDEX('Vergi'!$F$10:$AR$10,MATCH(7,'Zaman'!$F$9:$AR$9,0))-SUM(F19:R19),MAX(0,'Vergi'!S11-SUM(S13:S18))),0)</f>
        <v/>
      </c>
      <c r="T19" s="18">
        <f>IF(AND('Zaman'!T9&gt;7,'Zaman'!T9-7&lt;=5),MIN(INDEX('Vergi'!$F$10:$AR$10,MATCH(7,'Zaman'!$F$9:$AR$9,0))-SUM(F19:S19),MAX(0,'Vergi'!T11-SUM(T13:T18))),0)</f>
        <v/>
      </c>
      <c r="U19" s="18">
        <f>IF(AND('Zaman'!U9&gt;7,'Zaman'!U9-7&lt;=5),MIN(INDEX('Vergi'!$F$10:$AR$10,MATCH(7,'Zaman'!$F$9:$AR$9,0))-SUM(F19:T19),MAX(0,'Vergi'!U11-SUM(U13:U18))),0)</f>
        <v/>
      </c>
      <c r="V19" s="18">
        <f>IF(AND('Zaman'!V9&gt;7,'Zaman'!V9-7&lt;=5),MIN(INDEX('Vergi'!$F$10:$AR$10,MATCH(7,'Zaman'!$F$9:$AR$9,0))-SUM(F19:U19),MAX(0,'Vergi'!V11-SUM(V13:V18))),0)</f>
        <v/>
      </c>
      <c r="W19" s="18">
        <f>IF(AND('Zaman'!W9&gt;7,'Zaman'!W9-7&lt;=5),MIN(INDEX('Vergi'!$F$10:$AR$10,MATCH(7,'Zaman'!$F$9:$AR$9,0))-SUM(F19:V19),MAX(0,'Vergi'!W11-SUM(W13:W18))),0)</f>
        <v/>
      </c>
      <c r="X19" s="18">
        <f>IF(AND('Zaman'!X9&gt;7,'Zaman'!X9-7&lt;=5),MIN(INDEX('Vergi'!$F$10:$AR$10,MATCH(7,'Zaman'!$F$9:$AR$9,0))-SUM(F19:W19),MAX(0,'Vergi'!X11-SUM(X13:X18))),0)</f>
        <v/>
      </c>
      <c r="Y19" s="18">
        <f>IF(AND('Zaman'!Y9&gt;7,'Zaman'!Y9-7&lt;=5),MIN(INDEX('Vergi'!$F$10:$AR$10,MATCH(7,'Zaman'!$F$9:$AR$9,0))-SUM(F19:X19),MAX(0,'Vergi'!Y11-SUM(Y13:Y18))),0)</f>
        <v/>
      </c>
      <c r="Z19" s="18">
        <f>IF(AND('Zaman'!Z9&gt;7,'Zaman'!Z9-7&lt;=5),MIN(INDEX('Vergi'!$F$10:$AR$10,MATCH(7,'Zaman'!$F$9:$AR$9,0))-SUM(F19:Y19),MAX(0,'Vergi'!Z11-SUM(Z13:Z18))),0)</f>
        <v/>
      </c>
      <c r="AA19" s="18">
        <f>IF(AND('Zaman'!AA9&gt;7,'Zaman'!AA9-7&lt;=5),MIN(INDEX('Vergi'!$F$10:$AR$10,MATCH(7,'Zaman'!$F$9:$AR$9,0))-SUM(F19:Z19),MAX(0,'Vergi'!AA11-SUM(AA13:AA18))),0)</f>
        <v/>
      </c>
      <c r="AB19" s="18">
        <f>IF(AND('Zaman'!AB9&gt;7,'Zaman'!AB9-7&lt;=5),MIN(INDEX('Vergi'!$F$10:$AR$10,MATCH(7,'Zaman'!$F$9:$AR$9,0))-SUM(F19:AA19),MAX(0,'Vergi'!AB11-SUM(AB13:AB18))),0)</f>
        <v/>
      </c>
      <c r="AC19" s="18">
        <f>IF(AND('Zaman'!AC9&gt;7,'Zaman'!AC9-7&lt;=5),MIN(INDEX('Vergi'!$F$10:$AR$10,MATCH(7,'Zaman'!$F$9:$AR$9,0))-SUM(F19:AB19),MAX(0,'Vergi'!AC11-SUM(AC13:AC18))),0)</f>
        <v/>
      </c>
      <c r="AD19" s="18">
        <f>IF(AND('Zaman'!AD9&gt;7,'Zaman'!AD9-7&lt;=5),MIN(INDEX('Vergi'!$F$10:$AR$10,MATCH(7,'Zaman'!$F$9:$AR$9,0))-SUM(F19:AC19),MAX(0,'Vergi'!AD11-SUM(AD13:AD18))),0)</f>
        <v/>
      </c>
      <c r="AE19" s="18">
        <f>IF(AND('Zaman'!AE9&gt;7,'Zaman'!AE9-7&lt;=5),MIN(INDEX('Vergi'!$F$10:$AR$10,MATCH(7,'Zaman'!$F$9:$AR$9,0))-SUM(F19:AD19),MAX(0,'Vergi'!AE11-SUM(AE13:AE18))),0)</f>
        <v/>
      </c>
      <c r="AF19" s="18">
        <f>IF(AND('Zaman'!AF9&gt;7,'Zaman'!AF9-7&lt;=5),MIN(INDEX('Vergi'!$F$10:$AR$10,MATCH(7,'Zaman'!$F$9:$AR$9,0))-SUM(F19:AE19),MAX(0,'Vergi'!AF11-SUM(AF13:AF18))),0)</f>
        <v/>
      </c>
      <c r="AG19" s="18">
        <f>IF(AND('Zaman'!AG9&gt;7,'Zaman'!AG9-7&lt;=5),MIN(INDEX('Vergi'!$F$10:$AR$10,MATCH(7,'Zaman'!$F$9:$AR$9,0))-SUM(F19:AF19),MAX(0,'Vergi'!AG11-SUM(AG13:AG18))),0)</f>
        <v/>
      </c>
      <c r="AH19" s="18">
        <f>IF(AND('Zaman'!AH9&gt;7,'Zaman'!AH9-7&lt;=5),MIN(INDEX('Vergi'!$F$10:$AR$10,MATCH(7,'Zaman'!$F$9:$AR$9,0))-SUM(F19:AG19),MAX(0,'Vergi'!AH11-SUM(AH13:AH18))),0)</f>
        <v/>
      </c>
      <c r="AI19" s="18">
        <f>IF(AND('Zaman'!AI9&gt;7,'Zaman'!AI9-7&lt;=5),MIN(INDEX('Vergi'!$F$10:$AR$10,MATCH(7,'Zaman'!$F$9:$AR$9,0))-SUM(F19:AH19),MAX(0,'Vergi'!AI11-SUM(AI13:AI18))),0)</f>
        <v/>
      </c>
      <c r="AJ19" s="18">
        <f>IF(AND('Zaman'!AJ9&gt;7,'Zaman'!AJ9-7&lt;=5),MIN(INDEX('Vergi'!$F$10:$AR$10,MATCH(7,'Zaman'!$F$9:$AR$9,0))-SUM(F19:AI19),MAX(0,'Vergi'!AJ11-SUM(AJ13:AJ18))),0)</f>
        <v/>
      </c>
      <c r="AK19" s="18">
        <f>IF(AND('Zaman'!AK9&gt;7,'Zaman'!AK9-7&lt;=5),MIN(INDEX('Vergi'!$F$10:$AR$10,MATCH(7,'Zaman'!$F$9:$AR$9,0))-SUM(F19:AJ19),MAX(0,'Vergi'!AK11-SUM(AK13:AK18))),0)</f>
        <v/>
      </c>
      <c r="AL19" s="18">
        <f>IF(AND('Zaman'!AL9&gt;7,'Zaman'!AL9-7&lt;=5),MIN(INDEX('Vergi'!$F$10:$AR$10,MATCH(7,'Zaman'!$F$9:$AR$9,0))-SUM(F19:AK19),MAX(0,'Vergi'!AL11-SUM(AL13:AL18))),0)</f>
        <v/>
      </c>
      <c r="AM19" s="18">
        <f>IF(AND('Zaman'!AM9&gt;7,'Zaman'!AM9-7&lt;=5),MIN(INDEX('Vergi'!$F$10:$AR$10,MATCH(7,'Zaman'!$F$9:$AR$9,0))-SUM(F19:AL19),MAX(0,'Vergi'!AM11-SUM(AM13:AM18))),0)</f>
        <v/>
      </c>
      <c r="AN19" s="18">
        <f>IF(AND('Zaman'!AN9&gt;7,'Zaman'!AN9-7&lt;=5),MIN(INDEX('Vergi'!$F$10:$AR$10,MATCH(7,'Zaman'!$F$9:$AR$9,0))-SUM(F19:AM19),MAX(0,'Vergi'!AN11-SUM(AN13:AN18))),0)</f>
        <v/>
      </c>
      <c r="AO19" s="18">
        <f>IF(AND('Zaman'!AO9&gt;7,'Zaman'!AO9-7&lt;=5),MIN(INDEX('Vergi'!$F$10:$AR$10,MATCH(7,'Zaman'!$F$9:$AR$9,0))-SUM(F19:AN19),MAX(0,'Vergi'!AO11-SUM(AO13:AO18))),0)</f>
        <v/>
      </c>
      <c r="AP19" s="18">
        <f>IF(AND('Zaman'!AP9&gt;7,'Zaman'!AP9-7&lt;=5),MIN(INDEX('Vergi'!$F$10:$AR$10,MATCH(7,'Zaman'!$F$9:$AR$9,0))-SUM(F19:AO19),MAX(0,'Vergi'!AP11-SUM(AP13:AP18))),0)</f>
        <v/>
      </c>
      <c r="AQ19" s="18">
        <f>IF(AND('Zaman'!AQ9&gt;7,'Zaman'!AQ9-7&lt;=5),MIN(INDEX('Vergi'!$F$10:$AR$10,MATCH(7,'Zaman'!$F$9:$AR$9,0))-SUM(F19:AP19),MAX(0,'Vergi'!AQ11-SUM(AQ13:AQ18))),0)</f>
        <v/>
      </c>
      <c r="AR19" s="18">
        <f>IF(AND('Zaman'!AR9&gt;7,'Zaman'!AR9-7&lt;=5),MIN(INDEX('Vergi'!$F$10:$AR$10,MATCH(7,'Zaman'!$F$9:$AR$9,0))-SUM(F19:AQ19),MAX(0,'Vergi'!AR11-SUM(AR13:AR18))),0)</f>
        <v/>
      </c>
    </row>
    <row r="20">
      <c r="A20" t="inlineStr">
        <is>
          <t>Zarar yılı 8 — kullanım</t>
        </is>
      </c>
      <c r="B20" t="inlineStr">
        <is>
          <t>USD</t>
        </is>
      </c>
      <c r="F20" s="18">
        <f>IF(AND('Zaman'!F9&gt;8,'Zaman'!F9-8&lt;=5),MIN(INDEX('Vergi'!$F$10:$AR$10,MATCH(8,'Zaman'!$F$9:$AR$9,0))-0,MAX(0,'Vergi'!F11-SUM(F13:F19))),0)</f>
        <v/>
      </c>
      <c r="G20" s="18">
        <f>IF(AND('Zaman'!G9&gt;8,'Zaman'!G9-8&lt;=5),MIN(INDEX('Vergi'!$F$10:$AR$10,MATCH(8,'Zaman'!$F$9:$AR$9,0))-SUM(F20:F20),MAX(0,'Vergi'!G11-SUM(G13:G19))),0)</f>
        <v/>
      </c>
      <c r="H20" s="18">
        <f>IF(AND('Zaman'!H9&gt;8,'Zaman'!H9-8&lt;=5),MIN(INDEX('Vergi'!$F$10:$AR$10,MATCH(8,'Zaman'!$F$9:$AR$9,0))-SUM(F20:G20),MAX(0,'Vergi'!H11-SUM(H13:H19))),0)</f>
        <v/>
      </c>
      <c r="I20" s="18">
        <f>IF(AND('Zaman'!I9&gt;8,'Zaman'!I9-8&lt;=5),MIN(INDEX('Vergi'!$F$10:$AR$10,MATCH(8,'Zaman'!$F$9:$AR$9,0))-SUM(F20:H20),MAX(0,'Vergi'!I11-SUM(I13:I19))),0)</f>
        <v/>
      </c>
      <c r="J20" s="18">
        <f>IF(AND('Zaman'!J9&gt;8,'Zaman'!J9-8&lt;=5),MIN(INDEX('Vergi'!$F$10:$AR$10,MATCH(8,'Zaman'!$F$9:$AR$9,0))-SUM(F20:I20),MAX(0,'Vergi'!J11-SUM(J13:J19))),0)</f>
        <v/>
      </c>
      <c r="K20" s="18">
        <f>IF(AND('Zaman'!K9&gt;8,'Zaman'!K9-8&lt;=5),MIN(INDEX('Vergi'!$F$10:$AR$10,MATCH(8,'Zaman'!$F$9:$AR$9,0))-SUM(F20:J20),MAX(0,'Vergi'!K11-SUM(K13:K19))),0)</f>
        <v/>
      </c>
      <c r="L20" s="18">
        <f>IF(AND('Zaman'!L9&gt;8,'Zaman'!L9-8&lt;=5),MIN(INDEX('Vergi'!$F$10:$AR$10,MATCH(8,'Zaman'!$F$9:$AR$9,0))-SUM(F20:K20),MAX(0,'Vergi'!L11-SUM(L13:L19))),0)</f>
        <v/>
      </c>
      <c r="M20" s="18">
        <f>IF(AND('Zaman'!M9&gt;8,'Zaman'!M9-8&lt;=5),MIN(INDEX('Vergi'!$F$10:$AR$10,MATCH(8,'Zaman'!$F$9:$AR$9,0))-SUM(F20:L20),MAX(0,'Vergi'!M11-SUM(M13:M19))),0)</f>
        <v/>
      </c>
      <c r="N20" s="18">
        <f>IF(AND('Zaman'!N9&gt;8,'Zaman'!N9-8&lt;=5),MIN(INDEX('Vergi'!$F$10:$AR$10,MATCH(8,'Zaman'!$F$9:$AR$9,0))-SUM(F20:M20),MAX(0,'Vergi'!N11-SUM(N13:N19))),0)</f>
        <v/>
      </c>
      <c r="O20" s="18">
        <f>IF(AND('Zaman'!O9&gt;8,'Zaman'!O9-8&lt;=5),MIN(INDEX('Vergi'!$F$10:$AR$10,MATCH(8,'Zaman'!$F$9:$AR$9,0))-SUM(F20:N20),MAX(0,'Vergi'!O11-SUM(O13:O19))),0)</f>
        <v/>
      </c>
      <c r="P20" s="18">
        <f>IF(AND('Zaman'!P9&gt;8,'Zaman'!P9-8&lt;=5),MIN(INDEX('Vergi'!$F$10:$AR$10,MATCH(8,'Zaman'!$F$9:$AR$9,0))-SUM(F20:O20),MAX(0,'Vergi'!P11-SUM(P13:P19))),0)</f>
        <v/>
      </c>
      <c r="Q20" s="18">
        <f>IF(AND('Zaman'!Q9&gt;8,'Zaman'!Q9-8&lt;=5),MIN(INDEX('Vergi'!$F$10:$AR$10,MATCH(8,'Zaman'!$F$9:$AR$9,0))-SUM(F20:P20),MAX(0,'Vergi'!Q11-SUM(Q13:Q19))),0)</f>
        <v/>
      </c>
      <c r="R20" s="18">
        <f>IF(AND('Zaman'!R9&gt;8,'Zaman'!R9-8&lt;=5),MIN(INDEX('Vergi'!$F$10:$AR$10,MATCH(8,'Zaman'!$F$9:$AR$9,0))-SUM(F20:Q20),MAX(0,'Vergi'!R11-SUM(R13:R19))),0)</f>
        <v/>
      </c>
      <c r="S20" s="18">
        <f>IF(AND('Zaman'!S9&gt;8,'Zaman'!S9-8&lt;=5),MIN(INDEX('Vergi'!$F$10:$AR$10,MATCH(8,'Zaman'!$F$9:$AR$9,0))-SUM(F20:R20),MAX(0,'Vergi'!S11-SUM(S13:S19))),0)</f>
        <v/>
      </c>
      <c r="T20" s="18">
        <f>IF(AND('Zaman'!T9&gt;8,'Zaman'!T9-8&lt;=5),MIN(INDEX('Vergi'!$F$10:$AR$10,MATCH(8,'Zaman'!$F$9:$AR$9,0))-SUM(F20:S20),MAX(0,'Vergi'!T11-SUM(T13:T19))),0)</f>
        <v/>
      </c>
      <c r="U20" s="18">
        <f>IF(AND('Zaman'!U9&gt;8,'Zaman'!U9-8&lt;=5),MIN(INDEX('Vergi'!$F$10:$AR$10,MATCH(8,'Zaman'!$F$9:$AR$9,0))-SUM(F20:T20),MAX(0,'Vergi'!U11-SUM(U13:U19))),0)</f>
        <v/>
      </c>
      <c r="V20" s="18">
        <f>IF(AND('Zaman'!V9&gt;8,'Zaman'!V9-8&lt;=5),MIN(INDEX('Vergi'!$F$10:$AR$10,MATCH(8,'Zaman'!$F$9:$AR$9,0))-SUM(F20:U20),MAX(0,'Vergi'!V11-SUM(V13:V19))),0)</f>
        <v/>
      </c>
      <c r="W20" s="18">
        <f>IF(AND('Zaman'!W9&gt;8,'Zaman'!W9-8&lt;=5),MIN(INDEX('Vergi'!$F$10:$AR$10,MATCH(8,'Zaman'!$F$9:$AR$9,0))-SUM(F20:V20),MAX(0,'Vergi'!W11-SUM(W13:W19))),0)</f>
        <v/>
      </c>
      <c r="X20" s="18">
        <f>IF(AND('Zaman'!X9&gt;8,'Zaman'!X9-8&lt;=5),MIN(INDEX('Vergi'!$F$10:$AR$10,MATCH(8,'Zaman'!$F$9:$AR$9,0))-SUM(F20:W20),MAX(0,'Vergi'!X11-SUM(X13:X19))),0)</f>
        <v/>
      </c>
      <c r="Y20" s="18">
        <f>IF(AND('Zaman'!Y9&gt;8,'Zaman'!Y9-8&lt;=5),MIN(INDEX('Vergi'!$F$10:$AR$10,MATCH(8,'Zaman'!$F$9:$AR$9,0))-SUM(F20:X20),MAX(0,'Vergi'!Y11-SUM(Y13:Y19))),0)</f>
        <v/>
      </c>
      <c r="Z20" s="18">
        <f>IF(AND('Zaman'!Z9&gt;8,'Zaman'!Z9-8&lt;=5),MIN(INDEX('Vergi'!$F$10:$AR$10,MATCH(8,'Zaman'!$F$9:$AR$9,0))-SUM(F20:Y20),MAX(0,'Vergi'!Z11-SUM(Z13:Z19))),0)</f>
        <v/>
      </c>
      <c r="AA20" s="18">
        <f>IF(AND('Zaman'!AA9&gt;8,'Zaman'!AA9-8&lt;=5),MIN(INDEX('Vergi'!$F$10:$AR$10,MATCH(8,'Zaman'!$F$9:$AR$9,0))-SUM(F20:Z20),MAX(0,'Vergi'!AA11-SUM(AA13:AA19))),0)</f>
        <v/>
      </c>
      <c r="AB20" s="18">
        <f>IF(AND('Zaman'!AB9&gt;8,'Zaman'!AB9-8&lt;=5),MIN(INDEX('Vergi'!$F$10:$AR$10,MATCH(8,'Zaman'!$F$9:$AR$9,0))-SUM(F20:AA20),MAX(0,'Vergi'!AB11-SUM(AB13:AB19))),0)</f>
        <v/>
      </c>
      <c r="AC20" s="18">
        <f>IF(AND('Zaman'!AC9&gt;8,'Zaman'!AC9-8&lt;=5),MIN(INDEX('Vergi'!$F$10:$AR$10,MATCH(8,'Zaman'!$F$9:$AR$9,0))-SUM(F20:AB20),MAX(0,'Vergi'!AC11-SUM(AC13:AC19))),0)</f>
        <v/>
      </c>
      <c r="AD20" s="18">
        <f>IF(AND('Zaman'!AD9&gt;8,'Zaman'!AD9-8&lt;=5),MIN(INDEX('Vergi'!$F$10:$AR$10,MATCH(8,'Zaman'!$F$9:$AR$9,0))-SUM(F20:AC20),MAX(0,'Vergi'!AD11-SUM(AD13:AD19))),0)</f>
        <v/>
      </c>
      <c r="AE20" s="18">
        <f>IF(AND('Zaman'!AE9&gt;8,'Zaman'!AE9-8&lt;=5),MIN(INDEX('Vergi'!$F$10:$AR$10,MATCH(8,'Zaman'!$F$9:$AR$9,0))-SUM(F20:AD20),MAX(0,'Vergi'!AE11-SUM(AE13:AE19))),0)</f>
        <v/>
      </c>
      <c r="AF20" s="18">
        <f>IF(AND('Zaman'!AF9&gt;8,'Zaman'!AF9-8&lt;=5),MIN(INDEX('Vergi'!$F$10:$AR$10,MATCH(8,'Zaman'!$F$9:$AR$9,0))-SUM(F20:AE20),MAX(0,'Vergi'!AF11-SUM(AF13:AF19))),0)</f>
        <v/>
      </c>
      <c r="AG20" s="18">
        <f>IF(AND('Zaman'!AG9&gt;8,'Zaman'!AG9-8&lt;=5),MIN(INDEX('Vergi'!$F$10:$AR$10,MATCH(8,'Zaman'!$F$9:$AR$9,0))-SUM(F20:AF20),MAX(0,'Vergi'!AG11-SUM(AG13:AG19))),0)</f>
        <v/>
      </c>
      <c r="AH20" s="18">
        <f>IF(AND('Zaman'!AH9&gt;8,'Zaman'!AH9-8&lt;=5),MIN(INDEX('Vergi'!$F$10:$AR$10,MATCH(8,'Zaman'!$F$9:$AR$9,0))-SUM(F20:AG20),MAX(0,'Vergi'!AH11-SUM(AH13:AH19))),0)</f>
        <v/>
      </c>
      <c r="AI20" s="18">
        <f>IF(AND('Zaman'!AI9&gt;8,'Zaman'!AI9-8&lt;=5),MIN(INDEX('Vergi'!$F$10:$AR$10,MATCH(8,'Zaman'!$F$9:$AR$9,0))-SUM(F20:AH20),MAX(0,'Vergi'!AI11-SUM(AI13:AI19))),0)</f>
        <v/>
      </c>
      <c r="AJ20" s="18">
        <f>IF(AND('Zaman'!AJ9&gt;8,'Zaman'!AJ9-8&lt;=5),MIN(INDEX('Vergi'!$F$10:$AR$10,MATCH(8,'Zaman'!$F$9:$AR$9,0))-SUM(F20:AI20),MAX(0,'Vergi'!AJ11-SUM(AJ13:AJ19))),0)</f>
        <v/>
      </c>
      <c r="AK20" s="18">
        <f>IF(AND('Zaman'!AK9&gt;8,'Zaman'!AK9-8&lt;=5),MIN(INDEX('Vergi'!$F$10:$AR$10,MATCH(8,'Zaman'!$F$9:$AR$9,0))-SUM(F20:AJ20),MAX(0,'Vergi'!AK11-SUM(AK13:AK19))),0)</f>
        <v/>
      </c>
      <c r="AL20" s="18">
        <f>IF(AND('Zaman'!AL9&gt;8,'Zaman'!AL9-8&lt;=5),MIN(INDEX('Vergi'!$F$10:$AR$10,MATCH(8,'Zaman'!$F$9:$AR$9,0))-SUM(F20:AK20),MAX(0,'Vergi'!AL11-SUM(AL13:AL19))),0)</f>
        <v/>
      </c>
      <c r="AM20" s="18">
        <f>IF(AND('Zaman'!AM9&gt;8,'Zaman'!AM9-8&lt;=5),MIN(INDEX('Vergi'!$F$10:$AR$10,MATCH(8,'Zaman'!$F$9:$AR$9,0))-SUM(F20:AL20),MAX(0,'Vergi'!AM11-SUM(AM13:AM19))),0)</f>
        <v/>
      </c>
      <c r="AN20" s="18">
        <f>IF(AND('Zaman'!AN9&gt;8,'Zaman'!AN9-8&lt;=5),MIN(INDEX('Vergi'!$F$10:$AR$10,MATCH(8,'Zaman'!$F$9:$AR$9,0))-SUM(F20:AM20),MAX(0,'Vergi'!AN11-SUM(AN13:AN19))),0)</f>
        <v/>
      </c>
      <c r="AO20" s="18">
        <f>IF(AND('Zaman'!AO9&gt;8,'Zaman'!AO9-8&lt;=5),MIN(INDEX('Vergi'!$F$10:$AR$10,MATCH(8,'Zaman'!$F$9:$AR$9,0))-SUM(F20:AN20),MAX(0,'Vergi'!AO11-SUM(AO13:AO19))),0)</f>
        <v/>
      </c>
      <c r="AP20" s="18">
        <f>IF(AND('Zaman'!AP9&gt;8,'Zaman'!AP9-8&lt;=5),MIN(INDEX('Vergi'!$F$10:$AR$10,MATCH(8,'Zaman'!$F$9:$AR$9,0))-SUM(F20:AO20),MAX(0,'Vergi'!AP11-SUM(AP13:AP19))),0)</f>
        <v/>
      </c>
      <c r="AQ20" s="18">
        <f>IF(AND('Zaman'!AQ9&gt;8,'Zaman'!AQ9-8&lt;=5),MIN(INDEX('Vergi'!$F$10:$AR$10,MATCH(8,'Zaman'!$F$9:$AR$9,0))-SUM(F20:AP20),MAX(0,'Vergi'!AQ11-SUM(AQ13:AQ19))),0)</f>
        <v/>
      </c>
      <c r="AR20" s="18">
        <f>IF(AND('Zaman'!AR9&gt;8,'Zaman'!AR9-8&lt;=5),MIN(INDEX('Vergi'!$F$10:$AR$10,MATCH(8,'Zaman'!$F$9:$AR$9,0))-SUM(F20:AQ20),MAX(0,'Vergi'!AR11-SUM(AR13:AR19))),0)</f>
        <v/>
      </c>
    </row>
    <row r="21">
      <c r="A21" t="inlineStr">
        <is>
          <t>Zarar yılı 9 — kullanım</t>
        </is>
      </c>
      <c r="B21" t="inlineStr">
        <is>
          <t>USD</t>
        </is>
      </c>
      <c r="F21" s="18">
        <f>IF(AND('Zaman'!F9&gt;9,'Zaman'!F9-9&lt;=5),MIN(INDEX('Vergi'!$F$10:$AR$10,MATCH(9,'Zaman'!$F$9:$AR$9,0))-0,MAX(0,'Vergi'!F11-SUM(F13:F20))),0)</f>
        <v/>
      </c>
      <c r="G21" s="18">
        <f>IF(AND('Zaman'!G9&gt;9,'Zaman'!G9-9&lt;=5),MIN(INDEX('Vergi'!$F$10:$AR$10,MATCH(9,'Zaman'!$F$9:$AR$9,0))-SUM(F21:F21),MAX(0,'Vergi'!G11-SUM(G13:G20))),0)</f>
        <v/>
      </c>
      <c r="H21" s="18">
        <f>IF(AND('Zaman'!H9&gt;9,'Zaman'!H9-9&lt;=5),MIN(INDEX('Vergi'!$F$10:$AR$10,MATCH(9,'Zaman'!$F$9:$AR$9,0))-SUM(F21:G21),MAX(0,'Vergi'!H11-SUM(H13:H20))),0)</f>
        <v/>
      </c>
      <c r="I21" s="18">
        <f>IF(AND('Zaman'!I9&gt;9,'Zaman'!I9-9&lt;=5),MIN(INDEX('Vergi'!$F$10:$AR$10,MATCH(9,'Zaman'!$F$9:$AR$9,0))-SUM(F21:H21),MAX(0,'Vergi'!I11-SUM(I13:I20))),0)</f>
        <v/>
      </c>
      <c r="J21" s="18">
        <f>IF(AND('Zaman'!J9&gt;9,'Zaman'!J9-9&lt;=5),MIN(INDEX('Vergi'!$F$10:$AR$10,MATCH(9,'Zaman'!$F$9:$AR$9,0))-SUM(F21:I21),MAX(0,'Vergi'!J11-SUM(J13:J20))),0)</f>
        <v/>
      </c>
      <c r="K21" s="18">
        <f>IF(AND('Zaman'!K9&gt;9,'Zaman'!K9-9&lt;=5),MIN(INDEX('Vergi'!$F$10:$AR$10,MATCH(9,'Zaman'!$F$9:$AR$9,0))-SUM(F21:J21),MAX(0,'Vergi'!K11-SUM(K13:K20))),0)</f>
        <v/>
      </c>
      <c r="L21" s="18">
        <f>IF(AND('Zaman'!L9&gt;9,'Zaman'!L9-9&lt;=5),MIN(INDEX('Vergi'!$F$10:$AR$10,MATCH(9,'Zaman'!$F$9:$AR$9,0))-SUM(F21:K21),MAX(0,'Vergi'!L11-SUM(L13:L20))),0)</f>
        <v/>
      </c>
      <c r="M21" s="18">
        <f>IF(AND('Zaman'!M9&gt;9,'Zaman'!M9-9&lt;=5),MIN(INDEX('Vergi'!$F$10:$AR$10,MATCH(9,'Zaman'!$F$9:$AR$9,0))-SUM(F21:L21),MAX(0,'Vergi'!M11-SUM(M13:M20))),0)</f>
        <v/>
      </c>
      <c r="N21" s="18">
        <f>IF(AND('Zaman'!N9&gt;9,'Zaman'!N9-9&lt;=5),MIN(INDEX('Vergi'!$F$10:$AR$10,MATCH(9,'Zaman'!$F$9:$AR$9,0))-SUM(F21:M21),MAX(0,'Vergi'!N11-SUM(N13:N20))),0)</f>
        <v/>
      </c>
      <c r="O21" s="18">
        <f>IF(AND('Zaman'!O9&gt;9,'Zaman'!O9-9&lt;=5),MIN(INDEX('Vergi'!$F$10:$AR$10,MATCH(9,'Zaman'!$F$9:$AR$9,0))-SUM(F21:N21),MAX(0,'Vergi'!O11-SUM(O13:O20))),0)</f>
        <v/>
      </c>
      <c r="P21" s="18">
        <f>IF(AND('Zaman'!P9&gt;9,'Zaman'!P9-9&lt;=5),MIN(INDEX('Vergi'!$F$10:$AR$10,MATCH(9,'Zaman'!$F$9:$AR$9,0))-SUM(F21:O21),MAX(0,'Vergi'!P11-SUM(P13:P20))),0)</f>
        <v/>
      </c>
      <c r="Q21" s="18">
        <f>IF(AND('Zaman'!Q9&gt;9,'Zaman'!Q9-9&lt;=5),MIN(INDEX('Vergi'!$F$10:$AR$10,MATCH(9,'Zaman'!$F$9:$AR$9,0))-SUM(F21:P21),MAX(0,'Vergi'!Q11-SUM(Q13:Q20))),0)</f>
        <v/>
      </c>
      <c r="R21" s="18">
        <f>IF(AND('Zaman'!R9&gt;9,'Zaman'!R9-9&lt;=5),MIN(INDEX('Vergi'!$F$10:$AR$10,MATCH(9,'Zaman'!$F$9:$AR$9,0))-SUM(F21:Q21),MAX(0,'Vergi'!R11-SUM(R13:R20))),0)</f>
        <v/>
      </c>
      <c r="S21" s="18">
        <f>IF(AND('Zaman'!S9&gt;9,'Zaman'!S9-9&lt;=5),MIN(INDEX('Vergi'!$F$10:$AR$10,MATCH(9,'Zaman'!$F$9:$AR$9,0))-SUM(F21:R21),MAX(0,'Vergi'!S11-SUM(S13:S20))),0)</f>
        <v/>
      </c>
      <c r="T21" s="18">
        <f>IF(AND('Zaman'!T9&gt;9,'Zaman'!T9-9&lt;=5),MIN(INDEX('Vergi'!$F$10:$AR$10,MATCH(9,'Zaman'!$F$9:$AR$9,0))-SUM(F21:S21),MAX(0,'Vergi'!T11-SUM(T13:T20))),0)</f>
        <v/>
      </c>
      <c r="U21" s="18">
        <f>IF(AND('Zaman'!U9&gt;9,'Zaman'!U9-9&lt;=5),MIN(INDEX('Vergi'!$F$10:$AR$10,MATCH(9,'Zaman'!$F$9:$AR$9,0))-SUM(F21:T21),MAX(0,'Vergi'!U11-SUM(U13:U20))),0)</f>
        <v/>
      </c>
      <c r="V21" s="18">
        <f>IF(AND('Zaman'!V9&gt;9,'Zaman'!V9-9&lt;=5),MIN(INDEX('Vergi'!$F$10:$AR$10,MATCH(9,'Zaman'!$F$9:$AR$9,0))-SUM(F21:U21),MAX(0,'Vergi'!V11-SUM(V13:V20))),0)</f>
        <v/>
      </c>
      <c r="W21" s="18">
        <f>IF(AND('Zaman'!W9&gt;9,'Zaman'!W9-9&lt;=5),MIN(INDEX('Vergi'!$F$10:$AR$10,MATCH(9,'Zaman'!$F$9:$AR$9,0))-SUM(F21:V21),MAX(0,'Vergi'!W11-SUM(W13:W20))),0)</f>
        <v/>
      </c>
      <c r="X21" s="18">
        <f>IF(AND('Zaman'!X9&gt;9,'Zaman'!X9-9&lt;=5),MIN(INDEX('Vergi'!$F$10:$AR$10,MATCH(9,'Zaman'!$F$9:$AR$9,0))-SUM(F21:W21),MAX(0,'Vergi'!X11-SUM(X13:X20))),0)</f>
        <v/>
      </c>
      <c r="Y21" s="18">
        <f>IF(AND('Zaman'!Y9&gt;9,'Zaman'!Y9-9&lt;=5),MIN(INDEX('Vergi'!$F$10:$AR$10,MATCH(9,'Zaman'!$F$9:$AR$9,0))-SUM(F21:X21),MAX(0,'Vergi'!Y11-SUM(Y13:Y20))),0)</f>
        <v/>
      </c>
      <c r="Z21" s="18">
        <f>IF(AND('Zaman'!Z9&gt;9,'Zaman'!Z9-9&lt;=5),MIN(INDEX('Vergi'!$F$10:$AR$10,MATCH(9,'Zaman'!$F$9:$AR$9,0))-SUM(F21:Y21),MAX(0,'Vergi'!Z11-SUM(Z13:Z20))),0)</f>
        <v/>
      </c>
      <c r="AA21" s="18">
        <f>IF(AND('Zaman'!AA9&gt;9,'Zaman'!AA9-9&lt;=5),MIN(INDEX('Vergi'!$F$10:$AR$10,MATCH(9,'Zaman'!$F$9:$AR$9,0))-SUM(F21:Z21),MAX(0,'Vergi'!AA11-SUM(AA13:AA20))),0)</f>
        <v/>
      </c>
      <c r="AB21" s="18">
        <f>IF(AND('Zaman'!AB9&gt;9,'Zaman'!AB9-9&lt;=5),MIN(INDEX('Vergi'!$F$10:$AR$10,MATCH(9,'Zaman'!$F$9:$AR$9,0))-SUM(F21:AA21),MAX(0,'Vergi'!AB11-SUM(AB13:AB20))),0)</f>
        <v/>
      </c>
      <c r="AC21" s="18">
        <f>IF(AND('Zaman'!AC9&gt;9,'Zaman'!AC9-9&lt;=5),MIN(INDEX('Vergi'!$F$10:$AR$10,MATCH(9,'Zaman'!$F$9:$AR$9,0))-SUM(F21:AB21),MAX(0,'Vergi'!AC11-SUM(AC13:AC20))),0)</f>
        <v/>
      </c>
      <c r="AD21" s="18">
        <f>IF(AND('Zaman'!AD9&gt;9,'Zaman'!AD9-9&lt;=5),MIN(INDEX('Vergi'!$F$10:$AR$10,MATCH(9,'Zaman'!$F$9:$AR$9,0))-SUM(F21:AC21),MAX(0,'Vergi'!AD11-SUM(AD13:AD20))),0)</f>
        <v/>
      </c>
      <c r="AE21" s="18">
        <f>IF(AND('Zaman'!AE9&gt;9,'Zaman'!AE9-9&lt;=5),MIN(INDEX('Vergi'!$F$10:$AR$10,MATCH(9,'Zaman'!$F$9:$AR$9,0))-SUM(F21:AD21),MAX(0,'Vergi'!AE11-SUM(AE13:AE20))),0)</f>
        <v/>
      </c>
      <c r="AF21" s="18">
        <f>IF(AND('Zaman'!AF9&gt;9,'Zaman'!AF9-9&lt;=5),MIN(INDEX('Vergi'!$F$10:$AR$10,MATCH(9,'Zaman'!$F$9:$AR$9,0))-SUM(F21:AE21),MAX(0,'Vergi'!AF11-SUM(AF13:AF20))),0)</f>
        <v/>
      </c>
      <c r="AG21" s="18">
        <f>IF(AND('Zaman'!AG9&gt;9,'Zaman'!AG9-9&lt;=5),MIN(INDEX('Vergi'!$F$10:$AR$10,MATCH(9,'Zaman'!$F$9:$AR$9,0))-SUM(F21:AF21),MAX(0,'Vergi'!AG11-SUM(AG13:AG20))),0)</f>
        <v/>
      </c>
      <c r="AH21" s="18">
        <f>IF(AND('Zaman'!AH9&gt;9,'Zaman'!AH9-9&lt;=5),MIN(INDEX('Vergi'!$F$10:$AR$10,MATCH(9,'Zaman'!$F$9:$AR$9,0))-SUM(F21:AG21),MAX(0,'Vergi'!AH11-SUM(AH13:AH20))),0)</f>
        <v/>
      </c>
      <c r="AI21" s="18">
        <f>IF(AND('Zaman'!AI9&gt;9,'Zaman'!AI9-9&lt;=5),MIN(INDEX('Vergi'!$F$10:$AR$10,MATCH(9,'Zaman'!$F$9:$AR$9,0))-SUM(F21:AH21),MAX(0,'Vergi'!AI11-SUM(AI13:AI20))),0)</f>
        <v/>
      </c>
      <c r="AJ21" s="18">
        <f>IF(AND('Zaman'!AJ9&gt;9,'Zaman'!AJ9-9&lt;=5),MIN(INDEX('Vergi'!$F$10:$AR$10,MATCH(9,'Zaman'!$F$9:$AR$9,0))-SUM(F21:AI21),MAX(0,'Vergi'!AJ11-SUM(AJ13:AJ20))),0)</f>
        <v/>
      </c>
      <c r="AK21" s="18">
        <f>IF(AND('Zaman'!AK9&gt;9,'Zaman'!AK9-9&lt;=5),MIN(INDEX('Vergi'!$F$10:$AR$10,MATCH(9,'Zaman'!$F$9:$AR$9,0))-SUM(F21:AJ21),MAX(0,'Vergi'!AK11-SUM(AK13:AK20))),0)</f>
        <v/>
      </c>
      <c r="AL21" s="18">
        <f>IF(AND('Zaman'!AL9&gt;9,'Zaman'!AL9-9&lt;=5),MIN(INDEX('Vergi'!$F$10:$AR$10,MATCH(9,'Zaman'!$F$9:$AR$9,0))-SUM(F21:AK21),MAX(0,'Vergi'!AL11-SUM(AL13:AL20))),0)</f>
        <v/>
      </c>
      <c r="AM21" s="18">
        <f>IF(AND('Zaman'!AM9&gt;9,'Zaman'!AM9-9&lt;=5),MIN(INDEX('Vergi'!$F$10:$AR$10,MATCH(9,'Zaman'!$F$9:$AR$9,0))-SUM(F21:AL21),MAX(0,'Vergi'!AM11-SUM(AM13:AM20))),0)</f>
        <v/>
      </c>
      <c r="AN21" s="18">
        <f>IF(AND('Zaman'!AN9&gt;9,'Zaman'!AN9-9&lt;=5),MIN(INDEX('Vergi'!$F$10:$AR$10,MATCH(9,'Zaman'!$F$9:$AR$9,0))-SUM(F21:AM21),MAX(0,'Vergi'!AN11-SUM(AN13:AN20))),0)</f>
        <v/>
      </c>
      <c r="AO21" s="18">
        <f>IF(AND('Zaman'!AO9&gt;9,'Zaman'!AO9-9&lt;=5),MIN(INDEX('Vergi'!$F$10:$AR$10,MATCH(9,'Zaman'!$F$9:$AR$9,0))-SUM(F21:AN21),MAX(0,'Vergi'!AO11-SUM(AO13:AO20))),0)</f>
        <v/>
      </c>
      <c r="AP21" s="18">
        <f>IF(AND('Zaman'!AP9&gt;9,'Zaman'!AP9-9&lt;=5),MIN(INDEX('Vergi'!$F$10:$AR$10,MATCH(9,'Zaman'!$F$9:$AR$9,0))-SUM(F21:AO21),MAX(0,'Vergi'!AP11-SUM(AP13:AP20))),0)</f>
        <v/>
      </c>
      <c r="AQ21" s="18">
        <f>IF(AND('Zaman'!AQ9&gt;9,'Zaman'!AQ9-9&lt;=5),MIN(INDEX('Vergi'!$F$10:$AR$10,MATCH(9,'Zaman'!$F$9:$AR$9,0))-SUM(F21:AP21),MAX(0,'Vergi'!AQ11-SUM(AQ13:AQ20))),0)</f>
        <v/>
      </c>
      <c r="AR21" s="18">
        <f>IF(AND('Zaman'!AR9&gt;9,'Zaman'!AR9-9&lt;=5),MIN(INDEX('Vergi'!$F$10:$AR$10,MATCH(9,'Zaman'!$F$9:$AR$9,0))-SUM(F21:AQ21),MAX(0,'Vergi'!AR11-SUM(AR13:AR20))),0)</f>
        <v/>
      </c>
    </row>
    <row r="22">
      <c r="A22" t="inlineStr">
        <is>
          <t>Zarar yılı 10 — kullanım</t>
        </is>
      </c>
      <c r="B22" t="inlineStr">
        <is>
          <t>USD</t>
        </is>
      </c>
      <c r="F22" s="18">
        <f>IF(AND('Zaman'!F9&gt;10,'Zaman'!F9-10&lt;=5),MIN(INDEX('Vergi'!$F$10:$AR$10,MATCH(10,'Zaman'!$F$9:$AR$9,0))-0,MAX(0,'Vergi'!F11-SUM(F13:F21))),0)</f>
        <v/>
      </c>
      <c r="G22" s="18">
        <f>IF(AND('Zaman'!G9&gt;10,'Zaman'!G9-10&lt;=5),MIN(INDEX('Vergi'!$F$10:$AR$10,MATCH(10,'Zaman'!$F$9:$AR$9,0))-SUM(F22:F22),MAX(0,'Vergi'!G11-SUM(G13:G21))),0)</f>
        <v/>
      </c>
      <c r="H22" s="18">
        <f>IF(AND('Zaman'!H9&gt;10,'Zaman'!H9-10&lt;=5),MIN(INDEX('Vergi'!$F$10:$AR$10,MATCH(10,'Zaman'!$F$9:$AR$9,0))-SUM(F22:G22),MAX(0,'Vergi'!H11-SUM(H13:H21))),0)</f>
        <v/>
      </c>
      <c r="I22" s="18">
        <f>IF(AND('Zaman'!I9&gt;10,'Zaman'!I9-10&lt;=5),MIN(INDEX('Vergi'!$F$10:$AR$10,MATCH(10,'Zaman'!$F$9:$AR$9,0))-SUM(F22:H22),MAX(0,'Vergi'!I11-SUM(I13:I21))),0)</f>
        <v/>
      </c>
      <c r="J22" s="18">
        <f>IF(AND('Zaman'!J9&gt;10,'Zaman'!J9-10&lt;=5),MIN(INDEX('Vergi'!$F$10:$AR$10,MATCH(10,'Zaman'!$F$9:$AR$9,0))-SUM(F22:I22),MAX(0,'Vergi'!J11-SUM(J13:J21))),0)</f>
        <v/>
      </c>
      <c r="K22" s="18">
        <f>IF(AND('Zaman'!K9&gt;10,'Zaman'!K9-10&lt;=5),MIN(INDEX('Vergi'!$F$10:$AR$10,MATCH(10,'Zaman'!$F$9:$AR$9,0))-SUM(F22:J22),MAX(0,'Vergi'!K11-SUM(K13:K21))),0)</f>
        <v/>
      </c>
      <c r="L22" s="18">
        <f>IF(AND('Zaman'!L9&gt;10,'Zaman'!L9-10&lt;=5),MIN(INDEX('Vergi'!$F$10:$AR$10,MATCH(10,'Zaman'!$F$9:$AR$9,0))-SUM(F22:K22),MAX(0,'Vergi'!L11-SUM(L13:L21))),0)</f>
        <v/>
      </c>
      <c r="M22" s="18">
        <f>IF(AND('Zaman'!M9&gt;10,'Zaman'!M9-10&lt;=5),MIN(INDEX('Vergi'!$F$10:$AR$10,MATCH(10,'Zaman'!$F$9:$AR$9,0))-SUM(F22:L22),MAX(0,'Vergi'!M11-SUM(M13:M21))),0)</f>
        <v/>
      </c>
      <c r="N22" s="18">
        <f>IF(AND('Zaman'!N9&gt;10,'Zaman'!N9-10&lt;=5),MIN(INDEX('Vergi'!$F$10:$AR$10,MATCH(10,'Zaman'!$F$9:$AR$9,0))-SUM(F22:M22),MAX(0,'Vergi'!N11-SUM(N13:N21))),0)</f>
        <v/>
      </c>
      <c r="O22" s="18">
        <f>IF(AND('Zaman'!O9&gt;10,'Zaman'!O9-10&lt;=5),MIN(INDEX('Vergi'!$F$10:$AR$10,MATCH(10,'Zaman'!$F$9:$AR$9,0))-SUM(F22:N22),MAX(0,'Vergi'!O11-SUM(O13:O21))),0)</f>
        <v/>
      </c>
      <c r="P22" s="18">
        <f>IF(AND('Zaman'!P9&gt;10,'Zaman'!P9-10&lt;=5),MIN(INDEX('Vergi'!$F$10:$AR$10,MATCH(10,'Zaman'!$F$9:$AR$9,0))-SUM(F22:O22),MAX(0,'Vergi'!P11-SUM(P13:P21))),0)</f>
        <v/>
      </c>
      <c r="Q22" s="18">
        <f>IF(AND('Zaman'!Q9&gt;10,'Zaman'!Q9-10&lt;=5),MIN(INDEX('Vergi'!$F$10:$AR$10,MATCH(10,'Zaman'!$F$9:$AR$9,0))-SUM(F22:P22),MAX(0,'Vergi'!Q11-SUM(Q13:Q21))),0)</f>
        <v/>
      </c>
      <c r="R22" s="18">
        <f>IF(AND('Zaman'!R9&gt;10,'Zaman'!R9-10&lt;=5),MIN(INDEX('Vergi'!$F$10:$AR$10,MATCH(10,'Zaman'!$F$9:$AR$9,0))-SUM(F22:Q22),MAX(0,'Vergi'!R11-SUM(R13:R21))),0)</f>
        <v/>
      </c>
      <c r="S22" s="18">
        <f>IF(AND('Zaman'!S9&gt;10,'Zaman'!S9-10&lt;=5),MIN(INDEX('Vergi'!$F$10:$AR$10,MATCH(10,'Zaman'!$F$9:$AR$9,0))-SUM(F22:R22),MAX(0,'Vergi'!S11-SUM(S13:S21))),0)</f>
        <v/>
      </c>
      <c r="T22" s="18">
        <f>IF(AND('Zaman'!T9&gt;10,'Zaman'!T9-10&lt;=5),MIN(INDEX('Vergi'!$F$10:$AR$10,MATCH(10,'Zaman'!$F$9:$AR$9,0))-SUM(F22:S22),MAX(0,'Vergi'!T11-SUM(T13:T21))),0)</f>
        <v/>
      </c>
      <c r="U22" s="18">
        <f>IF(AND('Zaman'!U9&gt;10,'Zaman'!U9-10&lt;=5),MIN(INDEX('Vergi'!$F$10:$AR$10,MATCH(10,'Zaman'!$F$9:$AR$9,0))-SUM(F22:T22),MAX(0,'Vergi'!U11-SUM(U13:U21))),0)</f>
        <v/>
      </c>
      <c r="V22" s="18">
        <f>IF(AND('Zaman'!V9&gt;10,'Zaman'!V9-10&lt;=5),MIN(INDEX('Vergi'!$F$10:$AR$10,MATCH(10,'Zaman'!$F$9:$AR$9,0))-SUM(F22:U22),MAX(0,'Vergi'!V11-SUM(V13:V21))),0)</f>
        <v/>
      </c>
      <c r="W22" s="18">
        <f>IF(AND('Zaman'!W9&gt;10,'Zaman'!W9-10&lt;=5),MIN(INDEX('Vergi'!$F$10:$AR$10,MATCH(10,'Zaman'!$F$9:$AR$9,0))-SUM(F22:V22),MAX(0,'Vergi'!W11-SUM(W13:W21))),0)</f>
        <v/>
      </c>
      <c r="X22" s="18">
        <f>IF(AND('Zaman'!X9&gt;10,'Zaman'!X9-10&lt;=5),MIN(INDEX('Vergi'!$F$10:$AR$10,MATCH(10,'Zaman'!$F$9:$AR$9,0))-SUM(F22:W22),MAX(0,'Vergi'!X11-SUM(X13:X21))),0)</f>
        <v/>
      </c>
      <c r="Y22" s="18">
        <f>IF(AND('Zaman'!Y9&gt;10,'Zaman'!Y9-10&lt;=5),MIN(INDEX('Vergi'!$F$10:$AR$10,MATCH(10,'Zaman'!$F$9:$AR$9,0))-SUM(F22:X22),MAX(0,'Vergi'!Y11-SUM(Y13:Y21))),0)</f>
        <v/>
      </c>
      <c r="Z22" s="18">
        <f>IF(AND('Zaman'!Z9&gt;10,'Zaman'!Z9-10&lt;=5),MIN(INDEX('Vergi'!$F$10:$AR$10,MATCH(10,'Zaman'!$F$9:$AR$9,0))-SUM(F22:Y22),MAX(0,'Vergi'!Z11-SUM(Z13:Z21))),0)</f>
        <v/>
      </c>
      <c r="AA22" s="18">
        <f>IF(AND('Zaman'!AA9&gt;10,'Zaman'!AA9-10&lt;=5),MIN(INDEX('Vergi'!$F$10:$AR$10,MATCH(10,'Zaman'!$F$9:$AR$9,0))-SUM(F22:Z22),MAX(0,'Vergi'!AA11-SUM(AA13:AA21))),0)</f>
        <v/>
      </c>
      <c r="AB22" s="18">
        <f>IF(AND('Zaman'!AB9&gt;10,'Zaman'!AB9-10&lt;=5),MIN(INDEX('Vergi'!$F$10:$AR$10,MATCH(10,'Zaman'!$F$9:$AR$9,0))-SUM(F22:AA22),MAX(0,'Vergi'!AB11-SUM(AB13:AB21))),0)</f>
        <v/>
      </c>
      <c r="AC22" s="18">
        <f>IF(AND('Zaman'!AC9&gt;10,'Zaman'!AC9-10&lt;=5),MIN(INDEX('Vergi'!$F$10:$AR$10,MATCH(10,'Zaman'!$F$9:$AR$9,0))-SUM(F22:AB22),MAX(0,'Vergi'!AC11-SUM(AC13:AC21))),0)</f>
        <v/>
      </c>
      <c r="AD22" s="18">
        <f>IF(AND('Zaman'!AD9&gt;10,'Zaman'!AD9-10&lt;=5),MIN(INDEX('Vergi'!$F$10:$AR$10,MATCH(10,'Zaman'!$F$9:$AR$9,0))-SUM(F22:AC22),MAX(0,'Vergi'!AD11-SUM(AD13:AD21))),0)</f>
        <v/>
      </c>
      <c r="AE22" s="18">
        <f>IF(AND('Zaman'!AE9&gt;10,'Zaman'!AE9-10&lt;=5),MIN(INDEX('Vergi'!$F$10:$AR$10,MATCH(10,'Zaman'!$F$9:$AR$9,0))-SUM(F22:AD22),MAX(0,'Vergi'!AE11-SUM(AE13:AE21))),0)</f>
        <v/>
      </c>
      <c r="AF22" s="18">
        <f>IF(AND('Zaman'!AF9&gt;10,'Zaman'!AF9-10&lt;=5),MIN(INDEX('Vergi'!$F$10:$AR$10,MATCH(10,'Zaman'!$F$9:$AR$9,0))-SUM(F22:AE22),MAX(0,'Vergi'!AF11-SUM(AF13:AF21))),0)</f>
        <v/>
      </c>
      <c r="AG22" s="18">
        <f>IF(AND('Zaman'!AG9&gt;10,'Zaman'!AG9-10&lt;=5),MIN(INDEX('Vergi'!$F$10:$AR$10,MATCH(10,'Zaman'!$F$9:$AR$9,0))-SUM(F22:AF22),MAX(0,'Vergi'!AG11-SUM(AG13:AG21))),0)</f>
        <v/>
      </c>
      <c r="AH22" s="18">
        <f>IF(AND('Zaman'!AH9&gt;10,'Zaman'!AH9-10&lt;=5),MIN(INDEX('Vergi'!$F$10:$AR$10,MATCH(10,'Zaman'!$F$9:$AR$9,0))-SUM(F22:AG22),MAX(0,'Vergi'!AH11-SUM(AH13:AH21))),0)</f>
        <v/>
      </c>
      <c r="AI22" s="18">
        <f>IF(AND('Zaman'!AI9&gt;10,'Zaman'!AI9-10&lt;=5),MIN(INDEX('Vergi'!$F$10:$AR$10,MATCH(10,'Zaman'!$F$9:$AR$9,0))-SUM(F22:AH22),MAX(0,'Vergi'!AI11-SUM(AI13:AI21))),0)</f>
        <v/>
      </c>
      <c r="AJ22" s="18">
        <f>IF(AND('Zaman'!AJ9&gt;10,'Zaman'!AJ9-10&lt;=5),MIN(INDEX('Vergi'!$F$10:$AR$10,MATCH(10,'Zaman'!$F$9:$AR$9,0))-SUM(F22:AI22),MAX(0,'Vergi'!AJ11-SUM(AJ13:AJ21))),0)</f>
        <v/>
      </c>
      <c r="AK22" s="18">
        <f>IF(AND('Zaman'!AK9&gt;10,'Zaman'!AK9-10&lt;=5),MIN(INDEX('Vergi'!$F$10:$AR$10,MATCH(10,'Zaman'!$F$9:$AR$9,0))-SUM(F22:AJ22),MAX(0,'Vergi'!AK11-SUM(AK13:AK21))),0)</f>
        <v/>
      </c>
      <c r="AL22" s="18">
        <f>IF(AND('Zaman'!AL9&gt;10,'Zaman'!AL9-10&lt;=5),MIN(INDEX('Vergi'!$F$10:$AR$10,MATCH(10,'Zaman'!$F$9:$AR$9,0))-SUM(F22:AK22),MAX(0,'Vergi'!AL11-SUM(AL13:AL21))),0)</f>
        <v/>
      </c>
      <c r="AM22" s="18">
        <f>IF(AND('Zaman'!AM9&gt;10,'Zaman'!AM9-10&lt;=5),MIN(INDEX('Vergi'!$F$10:$AR$10,MATCH(10,'Zaman'!$F$9:$AR$9,0))-SUM(F22:AL22),MAX(0,'Vergi'!AM11-SUM(AM13:AM21))),0)</f>
        <v/>
      </c>
      <c r="AN22" s="18">
        <f>IF(AND('Zaman'!AN9&gt;10,'Zaman'!AN9-10&lt;=5),MIN(INDEX('Vergi'!$F$10:$AR$10,MATCH(10,'Zaman'!$F$9:$AR$9,0))-SUM(F22:AM22),MAX(0,'Vergi'!AN11-SUM(AN13:AN21))),0)</f>
        <v/>
      </c>
      <c r="AO22" s="18">
        <f>IF(AND('Zaman'!AO9&gt;10,'Zaman'!AO9-10&lt;=5),MIN(INDEX('Vergi'!$F$10:$AR$10,MATCH(10,'Zaman'!$F$9:$AR$9,0))-SUM(F22:AN22),MAX(0,'Vergi'!AO11-SUM(AO13:AO21))),0)</f>
        <v/>
      </c>
      <c r="AP22" s="18">
        <f>IF(AND('Zaman'!AP9&gt;10,'Zaman'!AP9-10&lt;=5),MIN(INDEX('Vergi'!$F$10:$AR$10,MATCH(10,'Zaman'!$F$9:$AR$9,0))-SUM(F22:AO22),MAX(0,'Vergi'!AP11-SUM(AP13:AP21))),0)</f>
        <v/>
      </c>
      <c r="AQ22" s="18">
        <f>IF(AND('Zaman'!AQ9&gt;10,'Zaman'!AQ9-10&lt;=5),MIN(INDEX('Vergi'!$F$10:$AR$10,MATCH(10,'Zaman'!$F$9:$AR$9,0))-SUM(F22:AP22),MAX(0,'Vergi'!AQ11-SUM(AQ13:AQ21))),0)</f>
        <v/>
      </c>
      <c r="AR22" s="18">
        <f>IF(AND('Zaman'!AR9&gt;10,'Zaman'!AR9-10&lt;=5),MIN(INDEX('Vergi'!$F$10:$AR$10,MATCH(10,'Zaman'!$F$9:$AR$9,0))-SUM(F22:AQ22),MAX(0,'Vergi'!AR11-SUM(AR13:AR21))),0)</f>
        <v/>
      </c>
    </row>
    <row r="23">
      <c r="A23" t="inlineStr">
        <is>
          <t>Zarar yılı 11 — kullanım</t>
        </is>
      </c>
      <c r="B23" t="inlineStr">
        <is>
          <t>USD</t>
        </is>
      </c>
      <c r="F23" s="18">
        <f>IF(AND('Zaman'!F9&gt;11,'Zaman'!F9-11&lt;=5),MIN(INDEX('Vergi'!$F$10:$AR$10,MATCH(11,'Zaman'!$F$9:$AR$9,0))-0,MAX(0,'Vergi'!F11-SUM(F13:F22))),0)</f>
        <v/>
      </c>
      <c r="G23" s="18">
        <f>IF(AND('Zaman'!G9&gt;11,'Zaman'!G9-11&lt;=5),MIN(INDEX('Vergi'!$F$10:$AR$10,MATCH(11,'Zaman'!$F$9:$AR$9,0))-SUM(F23:F23),MAX(0,'Vergi'!G11-SUM(G13:G22))),0)</f>
        <v/>
      </c>
      <c r="H23" s="18">
        <f>IF(AND('Zaman'!H9&gt;11,'Zaman'!H9-11&lt;=5),MIN(INDEX('Vergi'!$F$10:$AR$10,MATCH(11,'Zaman'!$F$9:$AR$9,0))-SUM(F23:G23),MAX(0,'Vergi'!H11-SUM(H13:H22))),0)</f>
        <v/>
      </c>
      <c r="I23" s="18">
        <f>IF(AND('Zaman'!I9&gt;11,'Zaman'!I9-11&lt;=5),MIN(INDEX('Vergi'!$F$10:$AR$10,MATCH(11,'Zaman'!$F$9:$AR$9,0))-SUM(F23:H23),MAX(0,'Vergi'!I11-SUM(I13:I22))),0)</f>
        <v/>
      </c>
      <c r="J23" s="18">
        <f>IF(AND('Zaman'!J9&gt;11,'Zaman'!J9-11&lt;=5),MIN(INDEX('Vergi'!$F$10:$AR$10,MATCH(11,'Zaman'!$F$9:$AR$9,0))-SUM(F23:I23),MAX(0,'Vergi'!J11-SUM(J13:J22))),0)</f>
        <v/>
      </c>
      <c r="K23" s="18">
        <f>IF(AND('Zaman'!K9&gt;11,'Zaman'!K9-11&lt;=5),MIN(INDEX('Vergi'!$F$10:$AR$10,MATCH(11,'Zaman'!$F$9:$AR$9,0))-SUM(F23:J23),MAX(0,'Vergi'!K11-SUM(K13:K22))),0)</f>
        <v/>
      </c>
      <c r="L23" s="18">
        <f>IF(AND('Zaman'!L9&gt;11,'Zaman'!L9-11&lt;=5),MIN(INDEX('Vergi'!$F$10:$AR$10,MATCH(11,'Zaman'!$F$9:$AR$9,0))-SUM(F23:K23),MAX(0,'Vergi'!L11-SUM(L13:L22))),0)</f>
        <v/>
      </c>
      <c r="M23" s="18">
        <f>IF(AND('Zaman'!M9&gt;11,'Zaman'!M9-11&lt;=5),MIN(INDEX('Vergi'!$F$10:$AR$10,MATCH(11,'Zaman'!$F$9:$AR$9,0))-SUM(F23:L23),MAX(0,'Vergi'!M11-SUM(M13:M22))),0)</f>
        <v/>
      </c>
      <c r="N23" s="18">
        <f>IF(AND('Zaman'!N9&gt;11,'Zaman'!N9-11&lt;=5),MIN(INDEX('Vergi'!$F$10:$AR$10,MATCH(11,'Zaman'!$F$9:$AR$9,0))-SUM(F23:M23),MAX(0,'Vergi'!N11-SUM(N13:N22))),0)</f>
        <v/>
      </c>
      <c r="O23" s="18">
        <f>IF(AND('Zaman'!O9&gt;11,'Zaman'!O9-11&lt;=5),MIN(INDEX('Vergi'!$F$10:$AR$10,MATCH(11,'Zaman'!$F$9:$AR$9,0))-SUM(F23:N23),MAX(0,'Vergi'!O11-SUM(O13:O22))),0)</f>
        <v/>
      </c>
      <c r="P23" s="18">
        <f>IF(AND('Zaman'!P9&gt;11,'Zaman'!P9-11&lt;=5),MIN(INDEX('Vergi'!$F$10:$AR$10,MATCH(11,'Zaman'!$F$9:$AR$9,0))-SUM(F23:O23),MAX(0,'Vergi'!P11-SUM(P13:P22))),0)</f>
        <v/>
      </c>
      <c r="Q23" s="18">
        <f>IF(AND('Zaman'!Q9&gt;11,'Zaman'!Q9-11&lt;=5),MIN(INDEX('Vergi'!$F$10:$AR$10,MATCH(11,'Zaman'!$F$9:$AR$9,0))-SUM(F23:P23),MAX(0,'Vergi'!Q11-SUM(Q13:Q22))),0)</f>
        <v/>
      </c>
      <c r="R23" s="18">
        <f>IF(AND('Zaman'!R9&gt;11,'Zaman'!R9-11&lt;=5),MIN(INDEX('Vergi'!$F$10:$AR$10,MATCH(11,'Zaman'!$F$9:$AR$9,0))-SUM(F23:Q23),MAX(0,'Vergi'!R11-SUM(R13:R22))),0)</f>
        <v/>
      </c>
      <c r="S23" s="18">
        <f>IF(AND('Zaman'!S9&gt;11,'Zaman'!S9-11&lt;=5),MIN(INDEX('Vergi'!$F$10:$AR$10,MATCH(11,'Zaman'!$F$9:$AR$9,0))-SUM(F23:R23),MAX(0,'Vergi'!S11-SUM(S13:S22))),0)</f>
        <v/>
      </c>
      <c r="T23" s="18">
        <f>IF(AND('Zaman'!T9&gt;11,'Zaman'!T9-11&lt;=5),MIN(INDEX('Vergi'!$F$10:$AR$10,MATCH(11,'Zaman'!$F$9:$AR$9,0))-SUM(F23:S23),MAX(0,'Vergi'!T11-SUM(T13:T22))),0)</f>
        <v/>
      </c>
      <c r="U23" s="18">
        <f>IF(AND('Zaman'!U9&gt;11,'Zaman'!U9-11&lt;=5),MIN(INDEX('Vergi'!$F$10:$AR$10,MATCH(11,'Zaman'!$F$9:$AR$9,0))-SUM(F23:T23),MAX(0,'Vergi'!U11-SUM(U13:U22))),0)</f>
        <v/>
      </c>
      <c r="V23" s="18">
        <f>IF(AND('Zaman'!V9&gt;11,'Zaman'!V9-11&lt;=5),MIN(INDEX('Vergi'!$F$10:$AR$10,MATCH(11,'Zaman'!$F$9:$AR$9,0))-SUM(F23:U23),MAX(0,'Vergi'!V11-SUM(V13:V22))),0)</f>
        <v/>
      </c>
      <c r="W23" s="18">
        <f>IF(AND('Zaman'!W9&gt;11,'Zaman'!W9-11&lt;=5),MIN(INDEX('Vergi'!$F$10:$AR$10,MATCH(11,'Zaman'!$F$9:$AR$9,0))-SUM(F23:V23),MAX(0,'Vergi'!W11-SUM(W13:W22))),0)</f>
        <v/>
      </c>
      <c r="X23" s="18">
        <f>IF(AND('Zaman'!X9&gt;11,'Zaman'!X9-11&lt;=5),MIN(INDEX('Vergi'!$F$10:$AR$10,MATCH(11,'Zaman'!$F$9:$AR$9,0))-SUM(F23:W23),MAX(0,'Vergi'!X11-SUM(X13:X22))),0)</f>
        <v/>
      </c>
      <c r="Y23" s="18">
        <f>IF(AND('Zaman'!Y9&gt;11,'Zaman'!Y9-11&lt;=5),MIN(INDEX('Vergi'!$F$10:$AR$10,MATCH(11,'Zaman'!$F$9:$AR$9,0))-SUM(F23:X23),MAX(0,'Vergi'!Y11-SUM(Y13:Y22))),0)</f>
        <v/>
      </c>
      <c r="Z23" s="18">
        <f>IF(AND('Zaman'!Z9&gt;11,'Zaman'!Z9-11&lt;=5),MIN(INDEX('Vergi'!$F$10:$AR$10,MATCH(11,'Zaman'!$F$9:$AR$9,0))-SUM(F23:Y23),MAX(0,'Vergi'!Z11-SUM(Z13:Z22))),0)</f>
        <v/>
      </c>
      <c r="AA23" s="18">
        <f>IF(AND('Zaman'!AA9&gt;11,'Zaman'!AA9-11&lt;=5),MIN(INDEX('Vergi'!$F$10:$AR$10,MATCH(11,'Zaman'!$F$9:$AR$9,0))-SUM(F23:Z23),MAX(0,'Vergi'!AA11-SUM(AA13:AA22))),0)</f>
        <v/>
      </c>
      <c r="AB23" s="18">
        <f>IF(AND('Zaman'!AB9&gt;11,'Zaman'!AB9-11&lt;=5),MIN(INDEX('Vergi'!$F$10:$AR$10,MATCH(11,'Zaman'!$F$9:$AR$9,0))-SUM(F23:AA23),MAX(0,'Vergi'!AB11-SUM(AB13:AB22))),0)</f>
        <v/>
      </c>
      <c r="AC23" s="18">
        <f>IF(AND('Zaman'!AC9&gt;11,'Zaman'!AC9-11&lt;=5),MIN(INDEX('Vergi'!$F$10:$AR$10,MATCH(11,'Zaman'!$F$9:$AR$9,0))-SUM(F23:AB23),MAX(0,'Vergi'!AC11-SUM(AC13:AC22))),0)</f>
        <v/>
      </c>
      <c r="AD23" s="18">
        <f>IF(AND('Zaman'!AD9&gt;11,'Zaman'!AD9-11&lt;=5),MIN(INDEX('Vergi'!$F$10:$AR$10,MATCH(11,'Zaman'!$F$9:$AR$9,0))-SUM(F23:AC23),MAX(0,'Vergi'!AD11-SUM(AD13:AD22))),0)</f>
        <v/>
      </c>
      <c r="AE23" s="18">
        <f>IF(AND('Zaman'!AE9&gt;11,'Zaman'!AE9-11&lt;=5),MIN(INDEX('Vergi'!$F$10:$AR$10,MATCH(11,'Zaman'!$F$9:$AR$9,0))-SUM(F23:AD23),MAX(0,'Vergi'!AE11-SUM(AE13:AE22))),0)</f>
        <v/>
      </c>
      <c r="AF23" s="18">
        <f>IF(AND('Zaman'!AF9&gt;11,'Zaman'!AF9-11&lt;=5),MIN(INDEX('Vergi'!$F$10:$AR$10,MATCH(11,'Zaman'!$F$9:$AR$9,0))-SUM(F23:AE23),MAX(0,'Vergi'!AF11-SUM(AF13:AF22))),0)</f>
        <v/>
      </c>
      <c r="AG23" s="18">
        <f>IF(AND('Zaman'!AG9&gt;11,'Zaman'!AG9-11&lt;=5),MIN(INDEX('Vergi'!$F$10:$AR$10,MATCH(11,'Zaman'!$F$9:$AR$9,0))-SUM(F23:AF23),MAX(0,'Vergi'!AG11-SUM(AG13:AG22))),0)</f>
        <v/>
      </c>
      <c r="AH23" s="18">
        <f>IF(AND('Zaman'!AH9&gt;11,'Zaman'!AH9-11&lt;=5),MIN(INDEX('Vergi'!$F$10:$AR$10,MATCH(11,'Zaman'!$F$9:$AR$9,0))-SUM(F23:AG23),MAX(0,'Vergi'!AH11-SUM(AH13:AH22))),0)</f>
        <v/>
      </c>
      <c r="AI23" s="18">
        <f>IF(AND('Zaman'!AI9&gt;11,'Zaman'!AI9-11&lt;=5),MIN(INDEX('Vergi'!$F$10:$AR$10,MATCH(11,'Zaman'!$F$9:$AR$9,0))-SUM(F23:AH23),MAX(0,'Vergi'!AI11-SUM(AI13:AI22))),0)</f>
        <v/>
      </c>
      <c r="AJ23" s="18">
        <f>IF(AND('Zaman'!AJ9&gt;11,'Zaman'!AJ9-11&lt;=5),MIN(INDEX('Vergi'!$F$10:$AR$10,MATCH(11,'Zaman'!$F$9:$AR$9,0))-SUM(F23:AI23),MAX(0,'Vergi'!AJ11-SUM(AJ13:AJ22))),0)</f>
        <v/>
      </c>
      <c r="AK23" s="18">
        <f>IF(AND('Zaman'!AK9&gt;11,'Zaman'!AK9-11&lt;=5),MIN(INDEX('Vergi'!$F$10:$AR$10,MATCH(11,'Zaman'!$F$9:$AR$9,0))-SUM(F23:AJ23),MAX(0,'Vergi'!AK11-SUM(AK13:AK22))),0)</f>
        <v/>
      </c>
      <c r="AL23" s="18">
        <f>IF(AND('Zaman'!AL9&gt;11,'Zaman'!AL9-11&lt;=5),MIN(INDEX('Vergi'!$F$10:$AR$10,MATCH(11,'Zaman'!$F$9:$AR$9,0))-SUM(F23:AK23),MAX(0,'Vergi'!AL11-SUM(AL13:AL22))),0)</f>
        <v/>
      </c>
      <c r="AM23" s="18">
        <f>IF(AND('Zaman'!AM9&gt;11,'Zaman'!AM9-11&lt;=5),MIN(INDEX('Vergi'!$F$10:$AR$10,MATCH(11,'Zaman'!$F$9:$AR$9,0))-SUM(F23:AL23),MAX(0,'Vergi'!AM11-SUM(AM13:AM22))),0)</f>
        <v/>
      </c>
      <c r="AN23" s="18">
        <f>IF(AND('Zaman'!AN9&gt;11,'Zaman'!AN9-11&lt;=5),MIN(INDEX('Vergi'!$F$10:$AR$10,MATCH(11,'Zaman'!$F$9:$AR$9,0))-SUM(F23:AM23),MAX(0,'Vergi'!AN11-SUM(AN13:AN22))),0)</f>
        <v/>
      </c>
      <c r="AO23" s="18">
        <f>IF(AND('Zaman'!AO9&gt;11,'Zaman'!AO9-11&lt;=5),MIN(INDEX('Vergi'!$F$10:$AR$10,MATCH(11,'Zaman'!$F$9:$AR$9,0))-SUM(F23:AN23),MAX(0,'Vergi'!AO11-SUM(AO13:AO22))),0)</f>
        <v/>
      </c>
      <c r="AP23" s="18">
        <f>IF(AND('Zaman'!AP9&gt;11,'Zaman'!AP9-11&lt;=5),MIN(INDEX('Vergi'!$F$10:$AR$10,MATCH(11,'Zaman'!$F$9:$AR$9,0))-SUM(F23:AO23),MAX(0,'Vergi'!AP11-SUM(AP13:AP22))),0)</f>
        <v/>
      </c>
      <c r="AQ23" s="18">
        <f>IF(AND('Zaman'!AQ9&gt;11,'Zaman'!AQ9-11&lt;=5),MIN(INDEX('Vergi'!$F$10:$AR$10,MATCH(11,'Zaman'!$F$9:$AR$9,0))-SUM(F23:AP23),MAX(0,'Vergi'!AQ11-SUM(AQ13:AQ22))),0)</f>
        <v/>
      </c>
      <c r="AR23" s="18">
        <f>IF(AND('Zaman'!AR9&gt;11,'Zaman'!AR9-11&lt;=5),MIN(INDEX('Vergi'!$F$10:$AR$10,MATCH(11,'Zaman'!$F$9:$AR$9,0))-SUM(F23:AQ23),MAX(0,'Vergi'!AR11-SUM(AR13:AR22))),0)</f>
        <v/>
      </c>
    </row>
    <row r="24">
      <c r="A24" t="inlineStr">
        <is>
          <t>Zarar yılı 12 — kullanım</t>
        </is>
      </c>
      <c r="B24" t="inlineStr">
        <is>
          <t>USD</t>
        </is>
      </c>
      <c r="F24" s="18">
        <f>IF(AND('Zaman'!F9&gt;12,'Zaman'!F9-12&lt;=5),MIN(INDEX('Vergi'!$F$10:$AR$10,MATCH(12,'Zaman'!$F$9:$AR$9,0))-0,MAX(0,'Vergi'!F11-SUM(F13:F23))),0)</f>
        <v/>
      </c>
      <c r="G24" s="18">
        <f>IF(AND('Zaman'!G9&gt;12,'Zaman'!G9-12&lt;=5),MIN(INDEX('Vergi'!$F$10:$AR$10,MATCH(12,'Zaman'!$F$9:$AR$9,0))-SUM(F24:F24),MAX(0,'Vergi'!G11-SUM(G13:G23))),0)</f>
        <v/>
      </c>
      <c r="H24" s="18">
        <f>IF(AND('Zaman'!H9&gt;12,'Zaman'!H9-12&lt;=5),MIN(INDEX('Vergi'!$F$10:$AR$10,MATCH(12,'Zaman'!$F$9:$AR$9,0))-SUM(F24:G24),MAX(0,'Vergi'!H11-SUM(H13:H23))),0)</f>
        <v/>
      </c>
      <c r="I24" s="18">
        <f>IF(AND('Zaman'!I9&gt;12,'Zaman'!I9-12&lt;=5),MIN(INDEX('Vergi'!$F$10:$AR$10,MATCH(12,'Zaman'!$F$9:$AR$9,0))-SUM(F24:H24),MAX(0,'Vergi'!I11-SUM(I13:I23))),0)</f>
        <v/>
      </c>
      <c r="J24" s="18">
        <f>IF(AND('Zaman'!J9&gt;12,'Zaman'!J9-12&lt;=5),MIN(INDEX('Vergi'!$F$10:$AR$10,MATCH(12,'Zaman'!$F$9:$AR$9,0))-SUM(F24:I24),MAX(0,'Vergi'!J11-SUM(J13:J23))),0)</f>
        <v/>
      </c>
      <c r="K24" s="18">
        <f>IF(AND('Zaman'!K9&gt;12,'Zaman'!K9-12&lt;=5),MIN(INDEX('Vergi'!$F$10:$AR$10,MATCH(12,'Zaman'!$F$9:$AR$9,0))-SUM(F24:J24),MAX(0,'Vergi'!K11-SUM(K13:K23))),0)</f>
        <v/>
      </c>
      <c r="L24" s="18">
        <f>IF(AND('Zaman'!L9&gt;12,'Zaman'!L9-12&lt;=5),MIN(INDEX('Vergi'!$F$10:$AR$10,MATCH(12,'Zaman'!$F$9:$AR$9,0))-SUM(F24:K24),MAX(0,'Vergi'!L11-SUM(L13:L23))),0)</f>
        <v/>
      </c>
      <c r="M24" s="18">
        <f>IF(AND('Zaman'!M9&gt;12,'Zaman'!M9-12&lt;=5),MIN(INDEX('Vergi'!$F$10:$AR$10,MATCH(12,'Zaman'!$F$9:$AR$9,0))-SUM(F24:L24),MAX(0,'Vergi'!M11-SUM(M13:M23))),0)</f>
        <v/>
      </c>
      <c r="N24" s="18">
        <f>IF(AND('Zaman'!N9&gt;12,'Zaman'!N9-12&lt;=5),MIN(INDEX('Vergi'!$F$10:$AR$10,MATCH(12,'Zaman'!$F$9:$AR$9,0))-SUM(F24:M24),MAX(0,'Vergi'!N11-SUM(N13:N23))),0)</f>
        <v/>
      </c>
      <c r="O24" s="18">
        <f>IF(AND('Zaman'!O9&gt;12,'Zaman'!O9-12&lt;=5),MIN(INDEX('Vergi'!$F$10:$AR$10,MATCH(12,'Zaman'!$F$9:$AR$9,0))-SUM(F24:N24),MAX(0,'Vergi'!O11-SUM(O13:O23))),0)</f>
        <v/>
      </c>
      <c r="P24" s="18">
        <f>IF(AND('Zaman'!P9&gt;12,'Zaman'!P9-12&lt;=5),MIN(INDEX('Vergi'!$F$10:$AR$10,MATCH(12,'Zaman'!$F$9:$AR$9,0))-SUM(F24:O24),MAX(0,'Vergi'!P11-SUM(P13:P23))),0)</f>
        <v/>
      </c>
      <c r="Q24" s="18">
        <f>IF(AND('Zaman'!Q9&gt;12,'Zaman'!Q9-12&lt;=5),MIN(INDEX('Vergi'!$F$10:$AR$10,MATCH(12,'Zaman'!$F$9:$AR$9,0))-SUM(F24:P24),MAX(0,'Vergi'!Q11-SUM(Q13:Q23))),0)</f>
        <v/>
      </c>
      <c r="R24" s="18">
        <f>IF(AND('Zaman'!R9&gt;12,'Zaman'!R9-12&lt;=5),MIN(INDEX('Vergi'!$F$10:$AR$10,MATCH(12,'Zaman'!$F$9:$AR$9,0))-SUM(F24:Q24),MAX(0,'Vergi'!R11-SUM(R13:R23))),0)</f>
        <v/>
      </c>
      <c r="S24" s="18">
        <f>IF(AND('Zaman'!S9&gt;12,'Zaman'!S9-12&lt;=5),MIN(INDEX('Vergi'!$F$10:$AR$10,MATCH(12,'Zaman'!$F$9:$AR$9,0))-SUM(F24:R24),MAX(0,'Vergi'!S11-SUM(S13:S23))),0)</f>
        <v/>
      </c>
      <c r="T24" s="18">
        <f>IF(AND('Zaman'!T9&gt;12,'Zaman'!T9-12&lt;=5),MIN(INDEX('Vergi'!$F$10:$AR$10,MATCH(12,'Zaman'!$F$9:$AR$9,0))-SUM(F24:S24),MAX(0,'Vergi'!T11-SUM(T13:T23))),0)</f>
        <v/>
      </c>
      <c r="U24" s="18">
        <f>IF(AND('Zaman'!U9&gt;12,'Zaman'!U9-12&lt;=5),MIN(INDEX('Vergi'!$F$10:$AR$10,MATCH(12,'Zaman'!$F$9:$AR$9,0))-SUM(F24:T24),MAX(0,'Vergi'!U11-SUM(U13:U23))),0)</f>
        <v/>
      </c>
      <c r="V24" s="18">
        <f>IF(AND('Zaman'!V9&gt;12,'Zaman'!V9-12&lt;=5),MIN(INDEX('Vergi'!$F$10:$AR$10,MATCH(12,'Zaman'!$F$9:$AR$9,0))-SUM(F24:U24),MAX(0,'Vergi'!V11-SUM(V13:V23))),0)</f>
        <v/>
      </c>
      <c r="W24" s="18">
        <f>IF(AND('Zaman'!W9&gt;12,'Zaman'!W9-12&lt;=5),MIN(INDEX('Vergi'!$F$10:$AR$10,MATCH(12,'Zaman'!$F$9:$AR$9,0))-SUM(F24:V24),MAX(0,'Vergi'!W11-SUM(W13:W23))),0)</f>
        <v/>
      </c>
      <c r="X24" s="18">
        <f>IF(AND('Zaman'!X9&gt;12,'Zaman'!X9-12&lt;=5),MIN(INDEX('Vergi'!$F$10:$AR$10,MATCH(12,'Zaman'!$F$9:$AR$9,0))-SUM(F24:W24),MAX(0,'Vergi'!X11-SUM(X13:X23))),0)</f>
        <v/>
      </c>
      <c r="Y24" s="18">
        <f>IF(AND('Zaman'!Y9&gt;12,'Zaman'!Y9-12&lt;=5),MIN(INDEX('Vergi'!$F$10:$AR$10,MATCH(12,'Zaman'!$F$9:$AR$9,0))-SUM(F24:X24),MAX(0,'Vergi'!Y11-SUM(Y13:Y23))),0)</f>
        <v/>
      </c>
      <c r="Z24" s="18">
        <f>IF(AND('Zaman'!Z9&gt;12,'Zaman'!Z9-12&lt;=5),MIN(INDEX('Vergi'!$F$10:$AR$10,MATCH(12,'Zaman'!$F$9:$AR$9,0))-SUM(F24:Y24),MAX(0,'Vergi'!Z11-SUM(Z13:Z23))),0)</f>
        <v/>
      </c>
      <c r="AA24" s="18">
        <f>IF(AND('Zaman'!AA9&gt;12,'Zaman'!AA9-12&lt;=5),MIN(INDEX('Vergi'!$F$10:$AR$10,MATCH(12,'Zaman'!$F$9:$AR$9,0))-SUM(F24:Z24),MAX(0,'Vergi'!AA11-SUM(AA13:AA23))),0)</f>
        <v/>
      </c>
      <c r="AB24" s="18">
        <f>IF(AND('Zaman'!AB9&gt;12,'Zaman'!AB9-12&lt;=5),MIN(INDEX('Vergi'!$F$10:$AR$10,MATCH(12,'Zaman'!$F$9:$AR$9,0))-SUM(F24:AA24),MAX(0,'Vergi'!AB11-SUM(AB13:AB23))),0)</f>
        <v/>
      </c>
      <c r="AC24" s="18">
        <f>IF(AND('Zaman'!AC9&gt;12,'Zaman'!AC9-12&lt;=5),MIN(INDEX('Vergi'!$F$10:$AR$10,MATCH(12,'Zaman'!$F$9:$AR$9,0))-SUM(F24:AB24),MAX(0,'Vergi'!AC11-SUM(AC13:AC23))),0)</f>
        <v/>
      </c>
      <c r="AD24" s="18">
        <f>IF(AND('Zaman'!AD9&gt;12,'Zaman'!AD9-12&lt;=5),MIN(INDEX('Vergi'!$F$10:$AR$10,MATCH(12,'Zaman'!$F$9:$AR$9,0))-SUM(F24:AC24),MAX(0,'Vergi'!AD11-SUM(AD13:AD23))),0)</f>
        <v/>
      </c>
      <c r="AE24" s="18">
        <f>IF(AND('Zaman'!AE9&gt;12,'Zaman'!AE9-12&lt;=5),MIN(INDEX('Vergi'!$F$10:$AR$10,MATCH(12,'Zaman'!$F$9:$AR$9,0))-SUM(F24:AD24),MAX(0,'Vergi'!AE11-SUM(AE13:AE23))),0)</f>
        <v/>
      </c>
      <c r="AF24" s="18">
        <f>IF(AND('Zaman'!AF9&gt;12,'Zaman'!AF9-12&lt;=5),MIN(INDEX('Vergi'!$F$10:$AR$10,MATCH(12,'Zaman'!$F$9:$AR$9,0))-SUM(F24:AE24),MAX(0,'Vergi'!AF11-SUM(AF13:AF23))),0)</f>
        <v/>
      </c>
      <c r="AG24" s="18">
        <f>IF(AND('Zaman'!AG9&gt;12,'Zaman'!AG9-12&lt;=5),MIN(INDEX('Vergi'!$F$10:$AR$10,MATCH(12,'Zaman'!$F$9:$AR$9,0))-SUM(F24:AF24),MAX(0,'Vergi'!AG11-SUM(AG13:AG23))),0)</f>
        <v/>
      </c>
      <c r="AH24" s="18">
        <f>IF(AND('Zaman'!AH9&gt;12,'Zaman'!AH9-12&lt;=5),MIN(INDEX('Vergi'!$F$10:$AR$10,MATCH(12,'Zaman'!$F$9:$AR$9,0))-SUM(F24:AG24),MAX(0,'Vergi'!AH11-SUM(AH13:AH23))),0)</f>
        <v/>
      </c>
      <c r="AI24" s="18">
        <f>IF(AND('Zaman'!AI9&gt;12,'Zaman'!AI9-12&lt;=5),MIN(INDEX('Vergi'!$F$10:$AR$10,MATCH(12,'Zaman'!$F$9:$AR$9,0))-SUM(F24:AH24),MAX(0,'Vergi'!AI11-SUM(AI13:AI23))),0)</f>
        <v/>
      </c>
      <c r="AJ24" s="18">
        <f>IF(AND('Zaman'!AJ9&gt;12,'Zaman'!AJ9-12&lt;=5),MIN(INDEX('Vergi'!$F$10:$AR$10,MATCH(12,'Zaman'!$F$9:$AR$9,0))-SUM(F24:AI24),MAX(0,'Vergi'!AJ11-SUM(AJ13:AJ23))),0)</f>
        <v/>
      </c>
      <c r="AK24" s="18">
        <f>IF(AND('Zaman'!AK9&gt;12,'Zaman'!AK9-12&lt;=5),MIN(INDEX('Vergi'!$F$10:$AR$10,MATCH(12,'Zaman'!$F$9:$AR$9,0))-SUM(F24:AJ24),MAX(0,'Vergi'!AK11-SUM(AK13:AK23))),0)</f>
        <v/>
      </c>
      <c r="AL24" s="18">
        <f>IF(AND('Zaman'!AL9&gt;12,'Zaman'!AL9-12&lt;=5),MIN(INDEX('Vergi'!$F$10:$AR$10,MATCH(12,'Zaman'!$F$9:$AR$9,0))-SUM(F24:AK24),MAX(0,'Vergi'!AL11-SUM(AL13:AL23))),0)</f>
        <v/>
      </c>
      <c r="AM24" s="18">
        <f>IF(AND('Zaman'!AM9&gt;12,'Zaman'!AM9-12&lt;=5),MIN(INDEX('Vergi'!$F$10:$AR$10,MATCH(12,'Zaman'!$F$9:$AR$9,0))-SUM(F24:AL24),MAX(0,'Vergi'!AM11-SUM(AM13:AM23))),0)</f>
        <v/>
      </c>
      <c r="AN24" s="18">
        <f>IF(AND('Zaman'!AN9&gt;12,'Zaman'!AN9-12&lt;=5),MIN(INDEX('Vergi'!$F$10:$AR$10,MATCH(12,'Zaman'!$F$9:$AR$9,0))-SUM(F24:AM24),MAX(0,'Vergi'!AN11-SUM(AN13:AN23))),0)</f>
        <v/>
      </c>
      <c r="AO24" s="18">
        <f>IF(AND('Zaman'!AO9&gt;12,'Zaman'!AO9-12&lt;=5),MIN(INDEX('Vergi'!$F$10:$AR$10,MATCH(12,'Zaman'!$F$9:$AR$9,0))-SUM(F24:AN24),MAX(0,'Vergi'!AO11-SUM(AO13:AO23))),0)</f>
        <v/>
      </c>
      <c r="AP24" s="18">
        <f>IF(AND('Zaman'!AP9&gt;12,'Zaman'!AP9-12&lt;=5),MIN(INDEX('Vergi'!$F$10:$AR$10,MATCH(12,'Zaman'!$F$9:$AR$9,0))-SUM(F24:AO24),MAX(0,'Vergi'!AP11-SUM(AP13:AP23))),0)</f>
        <v/>
      </c>
      <c r="AQ24" s="18">
        <f>IF(AND('Zaman'!AQ9&gt;12,'Zaman'!AQ9-12&lt;=5),MIN(INDEX('Vergi'!$F$10:$AR$10,MATCH(12,'Zaman'!$F$9:$AR$9,0))-SUM(F24:AP24),MAX(0,'Vergi'!AQ11-SUM(AQ13:AQ23))),0)</f>
        <v/>
      </c>
      <c r="AR24" s="18">
        <f>IF(AND('Zaman'!AR9&gt;12,'Zaman'!AR9-12&lt;=5),MIN(INDEX('Vergi'!$F$10:$AR$10,MATCH(12,'Zaman'!$F$9:$AR$9,0))-SUM(F24:AQ24),MAX(0,'Vergi'!AR11-SUM(AR13:AR23))),0)</f>
        <v/>
      </c>
    </row>
    <row r="25">
      <c r="A25" t="inlineStr">
        <is>
          <t>Zarar yılı 13 — kullanım</t>
        </is>
      </c>
      <c r="B25" t="inlineStr">
        <is>
          <t>USD</t>
        </is>
      </c>
      <c r="F25" s="18">
        <f>IF(AND('Zaman'!F9&gt;13,'Zaman'!F9-13&lt;=5),MIN(INDEX('Vergi'!$F$10:$AR$10,MATCH(13,'Zaman'!$F$9:$AR$9,0))-0,MAX(0,'Vergi'!F11-SUM(F13:F24))),0)</f>
        <v/>
      </c>
      <c r="G25" s="18">
        <f>IF(AND('Zaman'!G9&gt;13,'Zaman'!G9-13&lt;=5),MIN(INDEX('Vergi'!$F$10:$AR$10,MATCH(13,'Zaman'!$F$9:$AR$9,0))-SUM(F25:F25),MAX(0,'Vergi'!G11-SUM(G13:G24))),0)</f>
        <v/>
      </c>
      <c r="H25" s="18">
        <f>IF(AND('Zaman'!H9&gt;13,'Zaman'!H9-13&lt;=5),MIN(INDEX('Vergi'!$F$10:$AR$10,MATCH(13,'Zaman'!$F$9:$AR$9,0))-SUM(F25:G25),MAX(0,'Vergi'!H11-SUM(H13:H24))),0)</f>
        <v/>
      </c>
      <c r="I25" s="18">
        <f>IF(AND('Zaman'!I9&gt;13,'Zaman'!I9-13&lt;=5),MIN(INDEX('Vergi'!$F$10:$AR$10,MATCH(13,'Zaman'!$F$9:$AR$9,0))-SUM(F25:H25),MAX(0,'Vergi'!I11-SUM(I13:I24))),0)</f>
        <v/>
      </c>
      <c r="J25" s="18">
        <f>IF(AND('Zaman'!J9&gt;13,'Zaman'!J9-13&lt;=5),MIN(INDEX('Vergi'!$F$10:$AR$10,MATCH(13,'Zaman'!$F$9:$AR$9,0))-SUM(F25:I25),MAX(0,'Vergi'!J11-SUM(J13:J24))),0)</f>
        <v/>
      </c>
      <c r="K25" s="18">
        <f>IF(AND('Zaman'!K9&gt;13,'Zaman'!K9-13&lt;=5),MIN(INDEX('Vergi'!$F$10:$AR$10,MATCH(13,'Zaman'!$F$9:$AR$9,0))-SUM(F25:J25),MAX(0,'Vergi'!K11-SUM(K13:K24))),0)</f>
        <v/>
      </c>
      <c r="L25" s="18">
        <f>IF(AND('Zaman'!L9&gt;13,'Zaman'!L9-13&lt;=5),MIN(INDEX('Vergi'!$F$10:$AR$10,MATCH(13,'Zaman'!$F$9:$AR$9,0))-SUM(F25:K25),MAX(0,'Vergi'!L11-SUM(L13:L24))),0)</f>
        <v/>
      </c>
      <c r="M25" s="18">
        <f>IF(AND('Zaman'!M9&gt;13,'Zaman'!M9-13&lt;=5),MIN(INDEX('Vergi'!$F$10:$AR$10,MATCH(13,'Zaman'!$F$9:$AR$9,0))-SUM(F25:L25),MAX(0,'Vergi'!M11-SUM(M13:M24))),0)</f>
        <v/>
      </c>
      <c r="N25" s="18">
        <f>IF(AND('Zaman'!N9&gt;13,'Zaman'!N9-13&lt;=5),MIN(INDEX('Vergi'!$F$10:$AR$10,MATCH(13,'Zaman'!$F$9:$AR$9,0))-SUM(F25:M25),MAX(0,'Vergi'!N11-SUM(N13:N24))),0)</f>
        <v/>
      </c>
      <c r="O25" s="18">
        <f>IF(AND('Zaman'!O9&gt;13,'Zaman'!O9-13&lt;=5),MIN(INDEX('Vergi'!$F$10:$AR$10,MATCH(13,'Zaman'!$F$9:$AR$9,0))-SUM(F25:N25),MAX(0,'Vergi'!O11-SUM(O13:O24))),0)</f>
        <v/>
      </c>
      <c r="P25" s="18">
        <f>IF(AND('Zaman'!P9&gt;13,'Zaman'!P9-13&lt;=5),MIN(INDEX('Vergi'!$F$10:$AR$10,MATCH(13,'Zaman'!$F$9:$AR$9,0))-SUM(F25:O25),MAX(0,'Vergi'!P11-SUM(P13:P24))),0)</f>
        <v/>
      </c>
      <c r="Q25" s="18">
        <f>IF(AND('Zaman'!Q9&gt;13,'Zaman'!Q9-13&lt;=5),MIN(INDEX('Vergi'!$F$10:$AR$10,MATCH(13,'Zaman'!$F$9:$AR$9,0))-SUM(F25:P25),MAX(0,'Vergi'!Q11-SUM(Q13:Q24))),0)</f>
        <v/>
      </c>
      <c r="R25" s="18">
        <f>IF(AND('Zaman'!R9&gt;13,'Zaman'!R9-13&lt;=5),MIN(INDEX('Vergi'!$F$10:$AR$10,MATCH(13,'Zaman'!$F$9:$AR$9,0))-SUM(F25:Q25),MAX(0,'Vergi'!R11-SUM(R13:R24))),0)</f>
        <v/>
      </c>
      <c r="S25" s="18">
        <f>IF(AND('Zaman'!S9&gt;13,'Zaman'!S9-13&lt;=5),MIN(INDEX('Vergi'!$F$10:$AR$10,MATCH(13,'Zaman'!$F$9:$AR$9,0))-SUM(F25:R25),MAX(0,'Vergi'!S11-SUM(S13:S24))),0)</f>
        <v/>
      </c>
      <c r="T25" s="18">
        <f>IF(AND('Zaman'!T9&gt;13,'Zaman'!T9-13&lt;=5),MIN(INDEX('Vergi'!$F$10:$AR$10,MATCH(13,'Zaman'!$F$9:$AR$9,0))-SUM(F25:S25),MAX(0,'Vergi'!T11-SUM(T13:T24))),0)</f>
        <v/>
      </c>
      <c r="U25" s="18">
        <f>IF(AND('Zaman'!U9&gt;13,'Zaman'!U9-13&lt;=5),MIN(INDEX('Vergi'!$F$10:$AR$10,MATCH(13,'Zaman'!$F$9:$AR$9,0))-SUM(F25:T25),MAX(0,'Vergi'!U11-SUM(U13:U24))),0)</f>
        <v/>
      </c>
      <c r="V25" s="18">
        <f>IF(AND('Zaman'!V9&gt;13,'Zaman'!V9-13&lt;=5),MIN(INDEX('Vergi'!$F$10:$AR$10,MATCH(13,'Zaman'!$F$9:$AR$9,0))-SUM(F25:U25),MAX(0,'Vergi'!V11-SUM(V13:V24))),0)</f>
        <v/>
      </c>
      <c r="W25" s="18">
        <f>IF(AND('Zaman'!W9&gt;13,'Zaman'!W9-13&lt;=5),MIN(INDEX('Vergi'!$F$10:$AR$10,MATCH(13,'Zaman'!$F$9:$AR$9,0))-SUM(F25:V25),MAX(0,'Vergi'!W11-SUM(W13:W24))),0)</f>
        <v/>
      </c>
      <c r="X25" s="18">
        <f>IF(AND('Zaman'!X9&gt;13,'Zaman'!X9-13&lt;=5),MIN(INDEX('Vergi'!$F$10:$AR$10,MATCH(13,'Zaman'!$F$9:$AR$9,0))-SUM(F25:W25),MAX(0,'Vergi'!X11-SUM(X13:X24))),0)</f>
        <v/>
      </c>
      <c r="Y25" s="18">
        <f>IF(AND('Zaman'!Y9&gt;13,'Zaman'!Y9-13&lt;=5),MIN(INDEX('Vergi'!$F$10:$AR$10,MATCH(13,'Zaman'!$F$9:$AR$9,0))-SUM(F25:X25),MAX(0,'Vergi'!Y11-SUM(Y13:Y24))),0)</f>
        <v/>
      </c>
      <c r="Z25" s="18">
        <f>IF(AND('Zaman'!Z9&gt;13,'Zaman'!Z9-13&lt;=5),MIN(INDEX('Vergi'!$F$10:$AR$10,MATCH(13,'Zaman'!$F$9:$AR$9,0))-SUM(F25:Y25),MAX(0,'Vergi'!Z11-SUM(Z13:Z24))),0)</f>
        <v/>
      </c>
      <c r="AA25" s="18">
        <f>IF(AND('Zaman'!AA9&gt;13,'Zaman'!AA9-13&lt;=5),MIN(INDEX('Vergi'!$F$10:$AR$10,MATCH(13,'Zaman'!$F$9:$AR$9,0))-SUM(F25:Z25),MAX(0,'Vergi'!AA11-SUM(AA13:AA24))),0)</f>
        <v/>
      </c>
      <c r="AB25" s="18">
        <f>IF(AND('Zaman'!AB9&gt;13,'Zaman'!AB9-13&lt;=5),MIN(INDEX('Vergi'!$F$10:$AR$10,MATCH(13,'Zaman'!$F$9:$AR$9,0))-SUM(F25:AA25),MAX(0,'Vergi'!AB11-SUM(AB13:AB24))),0)</f>
        <v/>
      </c>
      <c r="AC25" s="18">
        <f>IF(AND('Zaman'!AC9&gt;13,'Zaman'!AC9-13&lt;=5),MIN(INDEX('Vergi'!$F$10:$AR$10,MATCH(13,'Zaman'!$F$9:$AR$9,0))-SUM(F25:AB25),MAX(0,'Vergi'!AC11-SUM(AC13:AC24))),0)</f>
        <v/>
      </c>
      <c r="AD25" s="18">
        <f>IF(AND('Zaman'!AD9&gt;13,'Zaman'!AD9-13&lt;=5),MIN(INDEX('Vergi'!$F$10:$AR$10,MATCH(13,'Zaman'!$F$9:$AR$9,0))-SUM(F25:AC25),MAX(0,'Vergi'!AD11-SUM(AD13:AD24))),0)</f>
        <v/>
      </c>
      <c r="AE25" s="18">
        <f>IF(AND('Zaman'!AE9&gt;13,'Zaman'!AE9-13&lt;=5),MIN(INDEX('Vergi'!$F$10:$AR$10,MATCH(13,'Zaman'!$F$9:$AR$9,0))-SUM(F25:AD25),MAX(0,'Vergi'!AE11-SUM(AE13:AE24))),0)</f>
        <v/>
      </c>
      <c r="AF25" s="18">
        <f>IF(AND('Zaman'!AF9&gt;13,'Zaman'!AF9-13&lt;=5),MIN(INDEX('Vergi'!$F$10:$AR$10,MATCH(13,'Zaman'!$F$9:$AR$9,0))-SUM(F25:AE25),MAX(0,'Vergi'!AF11-SUM(AF13:AF24))),0)</f>
        <v/>
      </c>
      <c r="AG25" s="18">
        <f>IF(AND('Zaman'!AG9&gt;13,'Zaman'!AG9-13&lt;=5),MIN(INDEX('Vergi'!$F$10:$AR$10,MATCH(13,'Zaman'!$F$9:$AR$9,0))-SUM(F25:AF25),MAX(0,'Vergi'!AG11-SUM(AG13:AG24))),0)</f>
        <v/>
      </c>
      <c r="AH25" s="18">
        <f>IF(AND('Zaman'!AH9&gt;13,'Zaman'!AH9-13&lt;=5),MIN(INDEX('Vergi'!$F$10:$AR$10,MATCH(13,'Zaman'!$F$9:$AR$9,0))-SUM(F25:AG25),MAX(0,'Vergi'!AH11-SUM(AH13:AH24))),0)</f>
        <v/>
      </c>
      <c r="AI25" s="18">
        <f>IF(AND('Zaman'!AI9&gt;13,'Zaman'!AI9-13&lt;=5),MIN(INDEX('Vergi'!$F$10:$AR$10,MATCH(13,'Zaman'!$F$9:$AR$9,0))-SUM(F25:AH25),MAX(0,'Vergi'!AI11-SUM(AI13:AI24))),0)</f>
        <v/>
      </c>
      <c r="AJ25" s="18">
        <f>IF(AND('Zaman'!AJ9&gt;13,'Zaman'!AJ9-13&lt;=5),MIN(INDEX('Vergi'!$F$10:$AR$10,MATCH(13,'Zaman'!$F$9:$AR$9,0))-SUM(F25:AI25),MAX(0,'Vergi'!AJ11-SUM(AJ13:AJ24))),0)</f>
        <v/>
      </c>
      <c r="AK25" s="18">
        <f>IF(AND('Zaman'!AK9&gt;13,'Zaman'!AK9-13&lt;=5),MIN(INDEX('Vergi'!$F$10:$AR$10,MATCH(13,'Zaman'!$F$9:$AR$9,0))-SUM(F25:AJ25),MAX(0,'Vergi'!AK11-SUM(AK13:AK24))),0)</f>
        <v/>
      </c>
      <c r="AL25" s="18">
        <f>IF(AND('Zaman'!AL9&gt;13,'Zaman'!AL9-13&lt;=5),MIN(INDEX('Vergi'!$F$10:$AR$10,MATCH(13,'Zaman'!$F$9:$AR$9,0))-SUM(F25:AK25),MAX(0,'Vergi'!AL11-SUM(AL13:AL24))),0)</f>
        <v/>
      </c>
      <c r="AM25" s="18">
        <f>IF(AND('Zaman'!AM9&gt;13,'Zaman'!AM9-13&lt;=5),MIN(INDEX('Vergi'!$F$10:$AR$10,MATCH(13,'Zaman'!$F$9:$AR$9,0))-SUM(F25:AL25),MAX(0,'Vergi'!AM11-SUM(AM13:AM24))),0)</f>
        <v/>
      </c>
      <c r="AN25" s="18">
        <f>IF(AND('Zaman'!AN9&gt;13,'Zaman'!AN9-13&lt;=5),MIN(INDEX('Vergi'!$F$10:$AR$10,MATCH(13,'Zaman'!$F$9:$AR$9,0))-SUM(F25:AM25),MAX(0,'Vergi'!AN11-SUM(AN13:AN24))),0)</f>
        <v/>
      </c>
      <c r="AO25" s="18">
        <f>IF(AND('Zaman'!AO9&gt;13,'Zaman'!AO9-13&lt;=5),MIN(INDEX('Vergi'!$F$10:$AR$10,MATCH(13,'Zaman'!$F$9:$AR$9,0))-SUM(F25:AN25),MAX(0,'Vergi'!AO11-SUM(AO13:AO24))),0)</f>
        <v/>
      </c>
      <c r="AP25" s="18">
        <f>IF(AND('Zaman'!AP9&gt;13,'Zaman'!AP9-13&lt;=5),MIN(INDEX('Vergi'!$F$10:$AR$10,MATCH(13,'Zaman'!$F$9:$AR$9,0))-SUM(F25:AO25),MAX(0,'Vergi'!AP11-SUM(AP13:AP24))),0)</f>
        <v/>
      </c>
      <c r="AQ25" s="18">
        <f>IF(AND('Zaman'!AQ9&gt;13,'Zaman'!AQ9-13&lt;=5),MIN(INDEX('Vergi'!$F$10:$AR$10,MATCH(13,'Zaman'!$F$9:$AR$9,0))-SUM(F25:AP25),MAX(0,'Vergi'!AQ11-SUM(AQ13:AQ24))),0)</f>
        <v/>
      </c>
      <c r="AR25" s="18">
        <f>IF(AND('Zaman'!AR9&gt;13,'Zaman'!AR9-13&lt;=5),MIN(INDEX('Vergi'!$F$10:$AR$10,MATCH(13,'Zaman'!$F$9:$AR$9,0))-SUM(F25:AQ25),MAX(0,'Vergi'!AR11-SUM(AR13:AR24))),0)</f>
        <v/>
      </c>
    </row>
    <row r="26">
      <c r="A26" t="inlineStr">
        <is>
          <t>Zarar yılı 14 — kullanım</t>
        </is>
      </c>
      <c r="B26" t="inlineStr">
        <is>
          <t>USD</t>
        </is>
      </c>
      <c r="F26" s="18">
        <f>IF(AND('Zaman'!F9&gt;14,'Zaman'!F9-14&lt;=5),MIN(INDEX('Vergi'!$F$10:$AR$10,MATCH(14,'Zaman'!$F$9:$AR$9,0))-0,MAX(0,'Vergi'!F11-SUM(F13:F25))),0)</f>
        <v/>
      </c>
      <c r="G26" s="18">
        <f>IF(AND('Zaman'!G9&gt;14,'Zaman'!G9-14&lt;=5),MIN(INDEX('Vergi'!$F$10:$AR$10,MATCH(14,'Zaman'!$F$9:$AR$9,0))-SUM(F26:F26),MAX(0,'Vergi'!G11-SUM(G13:G25))),0)</f>
        <v/>
      </c>
      <c r="H26" s="18">
        <f>IF(AND('Zaman'!H9&gt;14,'Zaman'!H9-14&lt;=5),MIN(INDEX('Vergi'!$F$10:$AR$10,MATCH(14,'Zaman'!$F$9:$AR$9,0))-SUM(F26:G26),MAX(0,'Vergi'!H11-SUM(H13:H25))),0)</f>
        <v/>
      </c>
      <c r="I26" s="18">
        <f>IF(AND('Zaman'!I9&gt;14,'Zaman'!I9-14&lt;=5),MIN(INDEX('Vergi'!$F$10:$AR$10,MATCH(14,'Zaman'!$F$9:$AR$9,0))-SUM(F26:H26),MAX(0,'Vergi'!I11-SUM(I13:I25))),0)</f>
        <v/>
      </c>
      <c r="J26" s="18">
        <f>IF(AND('Zaman'!J9&gt;14,'Zaman'!J9-14&lt;=5),MIN(INDEX('Vergi'!$F$10:$AR$10,MATCH(14,'Zaman'!$F$9:$AR$9,0))-SUM(F26:I26),MAX(0,'Vergi'!J11-SUM(J13:J25))),0)</f>
        <v/>
      </c>
      <c r="K26" s="18">
        <f>IF(AND('Zaman'!K9&gt;14,'Zaman'!K9-14&lt;=5),MIN(INDEX('Vergi'!$F$10:$AR$10,MATCH(14,'Zaman'!$F$9:$AR$9,0))-SUM(F26:J26),MAX(0,'Vergi'!K11-SUM(K13:K25))),0)</f>
        <v/>
      </c>
      <c r="L26" s="18">
        <f>IF(AND('Zaman'!L9&gt;14,'Zaman'!L9-14&lt;=5),MIN(INDEX('Vergi'!$F$10:$AR$10,MATCH(14,'Zaman'!$F$9:$AR$9,0))-SUM(F26:K26),MAX(0,'Vergi'!L11-SUM(L13:L25))),0)</f>
        <v/>
      </c>
      <c r="M26" s="18">
        <f>IF(AND('Zaman'!M9&gt;14,'Zaman'!M9-14&lt;=5),MIN(INDEX('Vergi'!$F$10:$AR$10,MATCH(14,'Zaman'!$F$9:$AR$9,0))-SUM(F26:L26),MAX(0,'Vergi'!M11-SUM(M13:M25))),0)</f>
        <v/>
      </c>
      <c r="N26" s="18">
        <f>IF(AND('Zaman'!N9&gt;14,'Zaman'!N9-14&lt;=5),MIN(INDEX('Vergi'!$F$10:$AR$10,MATCH(14,'Zaman'!$F$9:$AR$9,0))-SUM(F26:M26),MAX(0,'Vergi'!N11-SUM(N13:N25))),0)</f>
        <v/>
      </c>
      <c r="O26" s="18">
        <f>IF(AND('Zaman'!O9&gt;14,'Zaman'!O9-14&lt;=5),MIN(INDEX('Vergi'!$F$10:$AR$10,MATCH(14,'Zaman'!$F$9:$AR$9,0))-SUM(F26:N26),MAX(0,'Vergi'!O11-SUM(O13:O25))),0)</f>
        <v/>
      </c>
      <c r="P26" s="18">
        <f>IF(AND('Zaman'!P9&gt;14,'Zaman'!P9-14&lt;=5),MIN(INDEX('Vergi'!$F$10:$AR$10,MATCH(14,'Zaman'!$F$9:$AR$9,0))-SUM(F26:O26),MAX(0,'Vergi'!P11-SUM(P13:P25))),0)</f>
        <v/>
      </c>
      <c r="Q26" s="18">
        <f>IF(AND('Zaman'!Q9&gt;14,'Zaman'!Q9-14&lt;=5),MIN(INDEX('Vergi'!$F$10:$AR$10,MATCH(14,'Zaman'!$F$9:$AR$9,0))-SUM(F26:P26),MAX(0,'Vergi'!Q11-SUM(Q13:Q25))),0)</f>
        <v/>
      </c>
      <c r="R26" s="18">
        <f>IF(AND('Zaman'!R9&gt;14,'Zaman'!R9-14&lt;=5),MIN(INDEX('Vergi'!$F$10:$AR$10,MATCH(14,'Zaman'!$F$9:$AR$9,0))-SUM(F26:Q26),MAX(0,'Vergi'!R11-SUM(R13:R25))),0)</f>
        <v/>
      </c>
      <c r="S26" s="18">
        <f>IF(AND('Zaman'!S9&gt;14,'Zaman'!S9-14&lt;=5),MIN(INDEX('Vergi'!$F$10:$AR$10,MATCH(14,'Zaman'!$F$9:$AR$9,0))-SUM(F26:R26),MAX(0,'Vergi'!S11-SUM(S13:S25))),0)</f>
        <v/>
      </c>
      <c r="T26" s="18">
        <f>IF(AND('Zaman'!T9&gt;14,'Zaman'!T9-14&lt;=5),MIN(INDEX('Vergi'!$F$10:$AR$10,MATCH(14,'Zaman'!$F$9:$AR$9,0))-SUM(F26:S26),MAX(0,'Vergi'!T11-SUM(T13:T25))),0)</f>
        <v/>
      </c>
      <c r="U26" s="18">
        <f>IF(AND('Zaman'!U9&gt;14,'Zaman'!U9-14&lt;=5),MIN(INDEX('Vergi'!$F$10:$AR$10,MATCH(14,'Zaman'!$F$9:$AR$9,0))-SUM(F26:T26),MAX(0,'Vergi'!U11-SUM(U13:U25))),0)</f>
        <v/>
      </c>
      <c r="V26" s="18">
        <f>IF(AND('Zaman'!V9&gt;14,'Zaman'!V9-14&lt;=5),MIN(INDEX('Vergi'!$F$10:$AR$10,MATCH(14,'Zaman'!$F$9:$AR$9,0))-SUM(F26:U26),MAX(0,'Vergi'!V11-SUM(V13:V25))),0)</f>
        <v/>
      </c>
      <c r="W26" s="18">
        <f>IF(AND('Zaman'!W9&gt;14,'Zaman'!W9-14&lt;=5),MIN(INDEX('Vergi'!$F$10:$AR$10,MATCH(14,'Zaman'!$F$9:$AR$9,0))-SUM(F26:V26),MAX(0,'Vergi'!W11-SUM(W13:W25))),0)</f>
        <v/>
      </c>
      <c r="X26" s="18">
        <f>IF(AND('Zaman'!X9&gt;14,'Zaman'!X9-14&lt;=5),MIN(INDEX('Vergi'!$F$10:$AR$10,MATCH(14,'Zaman'!$F$9:$AR$9,0))-SUM(F26:W26),MAX(0,'Vergi'!X11-SUM(X13:X25))),0)</f>
        <v/>
      </c>
      <c r="Y26" s="18">
        <f>IF(AND('Zaman'!Y9&gt;14,'Zaman'!Y9-14&lt;=5),MIN(INDEX('Vergi'!$F$10:$AR$10,MATCH(14,'Zaman'!$F$9:$AR$9,0))-SUM(F26:X26),MAX(0,'Vergi'!Y11-SUM(Y13:Y25))),0)</f>
        <v/>
      </c>
      <c r="Z26" s="18">
        <f>IF(AND('Zaman'!Z9&gt;14,'Zaman'!Z9-14&lt;=5),MIN(INDEX('Vergi'!$F$10:$AR$10,MATCH(14,'Zaman'!$F$9:$AR$9,0))-SUM(F26:Y26),MAX(0,'Vergi'!Z11-SUM(Z13:Z25))),0)</f>
        <v/>
      </c>
      <c r="AA26" s="18">
        <f>IF(AND('Zaman'!AA9&gt;14,'Zaman'!AA9-14&lt;=5),MIN(INDEX('Vergi'!$F$10:$AR$10,MATCH(14,'Zaman'!$F$9:$AR$9,0))-SUM(F26:Z26),MAX(0,'Vergi'!AA11-SUM(AA13:AA25))),0)</f>
        <v/>
      </c>
      <c r="AB26" s="18">
        <f>IF(AND('Zaman'!AB9&gt;14,'Zaman'!AB9-14&lt;=5),MIN(INDEX('Vergi'!$F$10:$AR$10,MATCH(14,'Zaman'!$F$9:$AR$9,0))-SUM(F26:AA26),MAX(0,'Vergi'!AB11-SUM(AB13:AB25))),0)</f>
        <v/>
      </c>
      <c r="AC26" s="18">
        <f>IF(AND('Zaman'!AC9&gt;14,'Zaman'!AC9-14&lt;=5),MIN(INDEX('Vergi'!$F$10:$AR$10,MATCH(14,'Zaman'!$F$9:$AR$9,0))-SUM(F26:AB26),MAX(0,'Vergi'!AC11-SUM(AC13:AC25))),0)</f>
        <v/>
      </c>
      <c r="AD26" s="18">
        <f>IF(AND('Zaman'!AD9&gt;14,'Zaman'!AD9-14&lt;=5),MIN(INDEX('Vergi'!$F$10:$AR$10,MATCH(14,'Zaman'!$F$9:$AR$9,0))-SUM(F26:AC26),MAX(0,'Vergi'!AD11-SUM(AD13:AD25))),0)</f>
        <v/>
      </c>
      <c r="AE26" s="18">
        <f>IF(AND('Zaman'!AE9&gt;14,'Zaman'!AE9-14&lt;=5),MIN(INDEX('Vergi'!$F$10:$AR$10,MATCH(14,'Zaman'!$F$9:$AR$9,0))-SUM(F26:AD26),MAX(0,'Vergi'!AE11-SUM(AE13:AE25))),0)</f>
        <v/>
      </c>
      <c r="AF26" s="18">
        <f>IF(AND('Zaman'!AF9&gt;14,'Zaman'!AF9-14&lt;=5),MIN(INDEX('Vergi'!$F$10:$AR$10,MATCH(14,'Zaman'!$F$9:$AR$9,0))-SUM(F26:AE26),MAX(0,'Vergi'!AF11-SUM(AF13:AF25))),0)</f>
        <v/>
      </c>
      <c r="AG26" s="18">
        <f>IF(AND('Zaman'!AG9&gt;14,'Zaman'!AG9-14&lt;=5),MIN(INDEX('Vergi'!$F$10:$AR$10,MATCH(14,'Zaman'!$F$9:$AR$9,0))-SUM(F26:AF26),MAX(0,'Vergi'!AG11-SUM(AG13:AG25))),0)</f>
        <v/>
      </c>
      <c r="AH26" s="18">
        <f>IF(AND('Zaman'!AH9&gt;14,'Zaman'!AH9-14&lt;=5),MIN(INDEX('Vergi'!$F$10:$AR$10,MATCH(14,'Zaman'!$F$9:$AR$9,0))-SUM(F26:AG26),MAX(0,'Vergi'!AH11-SUM(AH13:AH25))),0)</f>
        <v/>
      </c>
      <c r="AI26" s="18">
        <f>IF(AND('Zaman'!AI9&gt;14,'Zaman'!AI9-14&lt;=5),MIN(INDEX('Vergi'!$F$10:$AR$10,MATCH(14,'Zaman'!$F$9:$AR$9,0))-SUM(F26:AH26),MAX(0,'Vergi'!AI11-SUM(AI13:AI25))),0)</f>
        <v/>
      </c>
      <c r="AJ26" s="18">
        <f>IF(AND('Zaman'!AJ9&gt;14,'Zaman'!AJ9-14&lt;=5),MIN(INDEX('Vergi'!$F$10:$AR$10,MATCH(14,'Zaman'!$F$9:$AR$9,0))-SUM(F26:AI26),MAX(0,'Vergi'!AJ11-SUM(AJ13:AJ25))),0)</f>
        <v/>
      </c>
      <c r="AK26" s="18">
        <f>IF(AND('Zaman'!AK9&gt;14,'Zaman'!AK9-14&lt;=5),MIN(INDEX('Vergi'!$F$10:$AR$10,MATCH(14,'Zaman'!$F$9:$AR$9,0))-SUM(F26:AJ26),MAX(0,'Vergi'!AK11-SUM(AK13:AK25))),0)</f>
        <v/>
      </c>
      <c r="AL26" s="18">
        <f>IF(AND('Zaman'!AL9&gt;14,'Zaman'!AL9-14&lt;=5),MIN(INDEX('Vergi'!$F$10:$AR$10,MATCH(14,'Zaman'!$F$9:$AR$9,0))-SUM(F26:AK26),MAX(0,'Vergi'!AL11-SUM(AL13:AL25))),0)</f>
        <v/>
      </c>
      <c r="AM26" s="18">
        <f>IF(AND('Zaman'!AM9&gt;14,'Zaman'!AM9-14&lt;=5),MIN(INDEX('Vergi'!$F$10:$AR$10,MATCH(14,'Zaman'!$F$9:$AR$9,0))-SUM(F26:AL26),MAX(0,'Vergi'!AM11-SUM(AM13:AM25))),0)</f>
        <v/>
      </c>
      <c r="AN26" s="18">
        <f>IF(AND('Zaman'!AN9&gt;14,'Zaman'!AN9-14&lt;=5),MIN(INDEX('Vergi'!$F$10:$AR$10,MATCH(14,'Zaman'!$F$9:$AR$9,0))-SUM(F26:AM26),MAX(0,'Vergi'!AN11-SUM(AN13:AN25))),0)</f>
        <v/>
      </c>
      <c r="AO26" s="18">
        <f>IF(AND('Zaman'!AO9&gt;14,'Zaman'!AO9-14&lt;=5),MIN(INDEX('Vergi'!$F$10:$AR$10,MATCH(14,'Zaman'!$F$9:$AR$9,0))-SUM(F26:AN26),MAX(0,'Vergi'!AO11-SUM(AO13:AO25))),0)</f>
        <v/>
      </c>
      <c r="AP26" s="18">
        <f>IF(AND('Zaman'!AP9&gt;14,'Zaman'!AP9-14&lt;=5),MIN(INDEX('Vergi'!$F$10:$AR$10,MATCH(14,'Zaman'!$F$9:$AR$9,0))-SUM(F26:AO26),MAX(0,'Vergi'!AP11-SUM(AP13:AP25))),0)</f>
        <v/>
      </c>
      <c r="AQ26" s="18">
        <f>IF(AND('Zaman'!AQ9&gt;14,'Zaman'!AQ9-14&lt;=5),MIN(INDEX('Vergi'!$F$10:$AR$10,MATCH(14,'Zaman'!$F$9:$AR$9,0))-SUM(F26:AP26),MAX(0,'Vergi'!AQ11-SUM(AQ13:AQ25))),0)</f>
        <v/>
      </c>
      <c r="AR26" s="18">
        <f>IF(AND('Zaman'!AR9&gt;14,'Zaman'!AR9-14&lt;=5),MIN(INDEX('Vergi'!$F$10:$AR$10,MATCH(14,'Zaman'!$F$9:$AR$9,0))-SUM(F26:AQ26),MAX(0,'Vergi'!AR11-SUM(AR13:AR25))),0)</f>
        <v/>
      </c>
    </row>
    <row r="27">
      <c r="A27" t="inlineStr">
        <is>
          <t>Zarar yılı 15 — kullanım</t>
        </is>
      </c>
      <c r="B27" t="inlineStr">
        <is>
          <t>USD</t>
        </is>
      </c>
      <c r="F27" s="18">
        <f>IF(AND('Zaman'!F9&gt;15,'Zaman'!F9-15&lt;=5),MIN(INDEX('Vergi'!$F$10:$AR$10,MATCH(15,'Zaman'!$F$9:$AR$9,0))-0,MAX(0,'Vergi'!F11-SUM(F13:F26))),0)</f>
        <v/>
      </c>
      <c r="G27" s="18">
        <f>IF(AND('Zaman'!G9&gt;15,'Zaman'!G9-15&lt;=5),MIN(INDEX('Vergi'!$F$10:$AR$10,MATCH(15,'Zaman'!$F$9:$AR$9,0))-SUM(F27:F27),MAX(0,'Vergi'!G11-SUM(G13:G26))),0)</f>
        <v/>
      </c>
      <c r="H27" s="18">
        <f>IF(AND('Zaman'!H9&gt;15,'Zaman'!H9-15&lt;=5),MIN(INDEX('Vergi'!$F$10:$AR$10,MATCH(15,'Zaman'!$F$9:$AR$9,0))-SUM(F27:G27),MAX(0,'Vergi'!H11-SUM(H13:H26))),0)</f>
        <v/>
      </c>
      <c r="I27" s="18">
        <f>IF(AND('Zaman'!I9&gt;15,'Zaman'!I9-15&lt;=5),MIN(INDEX('Vergi'!$F$10:$AR$10,MATCH(15,'Zaman'!$F$9:$AR$9,0))-SUM(F27:H27),MAX(0,'Vergi'!I11-SUM(I13:I26))),0)</f>
        <v/>
      </c>
      <c r="J27" s="18">
        <f>IF(AND('Zaman'!J9&gt;15,'Zaman'!J9-15&lt;=5),MIN(INDEX('Vergi'!$F$10:$AR$10,MATCH(15,'Zaman'!$F$9:$AR$9,0))-SUM(F27:I27),MAX(0,'Vergi'!J11-SUM(J13:J26))),0)</f>
        <v/>
      </c>
      <c r="K27" s="18">
        <f>IF(AND('Zaman'!K9&gt;15,'Zaman'!K9-15&lt;=5),MIN(INDEX('Vergi'!$F$10:$AR$10,MATCH(15,'Zaman'!$F$9:$AR$9,0))-SUM(F27:J27),MAX(0,'Vergi'!K11-SUM(K13:K26))),0)</f>
        <v/>
      </c>
      <c r="L27" s="18">
        <f>IF(AND('Zaman'!L9&gt;15,'Zaman'!L9-15&lt;=5),MIN(INDEX('Vergi'!$F$10:$AR$10,MATCH(15,'Zaman'!$F$9:$AR$9,0))-SUM(F27:K27),MAX(0,'Vergi'!L11-SUM(L13:L26))),0)</f>
        <v/>
      </c>
      <c r="M27" s="18">
        <f>IF(AND('Zaman'!M9&gt;15,'Zaman'!M9-15&lt;=5),MIN(INDEX('Vergi'!$F$10:$AR$10,MATCH(15,'Zaman'!$F$9:$AR$9,0))-SUM(F27:L27),MAX(0,'Vergi'!M11-SUM(M13:M26))),0)</f>
        <v/>
      </c>
      <c r="N27" s="18">
        <f>IF(AND('Zaman'!N9&gt;15,'Zaman'!N9-15&lt;=5),MIN(INDEX('Vergi'!$F$10:$AR$10,MATCH(15,'Zaman'!$F$9:$AR$9,0))-SUM(F27:M27),MAX(0,'Vergi'!N11-SUM(N13:N26))),0)</f>
        <v/>
      </c>
      <c r="O27" s="18">
        <f>IF(AND('Zaman'!O9&gt;15,'Zaman'!O9-15&lt;=5),MIN(INDEX('Vergi'!$F$10:$AR$10,MATCH(15,'Zaman'!$F$9:$AR$9,0))-SUM(F27:N27),MAX(0,'Vergi'!O11-SUM(O13:O26))),0)</f>
        <v/>
      </c>
      <c r="P27" s="18">
        <f>IF(AND('Zaman'!P9&gt;15,'Zaman'!P9-15&lt;=5),MIN(INDEX('Vergi'!$F$10:$AR$10,MATCH(15,'Zaman'!$F$9:$AR$9,0))-SUM(F27:O27),MAX(0,'Vergi'!P11-SUM(P13:P26))),0)</f>
        <v/>
      </c>
      <c r="Q27" s="18">
        <f>IF(AND('Zaman'!Q9&gt;15,'Zaman'!Q9-15&lt;=5),MIN(INDEX('Vergi'!$F$10:$AR$10,MATCH(15,'Zaman'!$F$9:$AR$9,0))-SUM(F27:P27),MAX(0,'Vergi'!Q11-SUM(Q13:Q26))),0)</f>
        <v/>
      </c>
      <c r="R27" s="18">
        <f>IF(AND('Zaman'!R9&gt;15,'Zaman'!R9-15&lt;=5),MIN(INDEX('Vergi'!$F$10:$AR$10,MATCH(15,'Zaman'!$F$9:$AR$9,0))-SUM(F27:Q27),MAX(0,'Vergi'!R11-SUM(R13:R26))),0)</f>
        <v/>
      </c>
      <c r="S27" s="18">
        <f>IF(AND('Zaman'!S9&gt;15,'Zaman'!S9-15&lt;=5),MIN(INDEX('Vergi'!$F$10:$AR$10,MATCH(15,'Zaman'!$F$9:$AR$9,0))-SUM(F27:R27),MAX(0,'Vergi'!S11-SUM(S13:S26))),0)</f>
        <v/>
      </c>
      <c r="T27" s="18">
        <f>IF(AND('Zaman'!T9&gt;15,'Zaman'!T9-15&lt;=5),MIN(INDEX('Vergi'!$F$10:$AR$10,MATCH(15,'Zaman'!$F$9:$AR$9,0))-SUM(F27:S27),MAX(0,'Vergi'!T11-SUM(T13:T26))),0)</f>
        <v/>
      </c>
      <c r="U27" s="18">
        <f>IF(AND('Zaman'!U9&gt;15,'Zaman'!U9-15&lt;=5),MIN(INDEX('Vergi'!$F$10:$AR$10,MATCH(15,'Zaman'!$F$9:$AR$9,0))-SUM(F27:T27),MAX(0,'Vergi'!U11-SUM(U13:U26))),0)</f>
        <v/>
      </c>
      <c r="V27" s="18">
        <f>IF(AND('Zaman'!V9&gt;15,'Zaman'!V9-15&lt;=5),MIN(INDEX('Vergi'!$F$10:$AR$10,MATCH(15,'Zaman'!$F$9:$AR$9,0))-SUM(F27:U27),MAX(0,'Vergi'!V11-SUM(V13:V26))),0)</f>
        <v/>
      </c>
      <c r="W27" s="18">
        <f>IF(AND('Zaman'!W9&gt;15,'Zaman'!W9-15&lt;=5),MIN(INDEX('Vergi'!$F$10:$AR$10,MATCH(15,'Zaman'!$F$9:$AR$9,0))-SUM(F27:V27),MAX(0,'Vergi'!W11-SUM(W13:W26))),0)</f>
        <v/>
      </c>
      <c r="X27" s="18">
        <f>IF(AND('Zaman'!X9&gt;15,'Zaman'!X9-15&lt;=5),MIN(INDEX('Vergi'!$F$10:$AR$10,MATCH(15,'Zaman'!$F$9:$AR$9,0))-SUM(F27:W27),MAX(0,'Vergi'!X11-SUM(X13:X26))),0)</f>
        <v/>
      </c>
      <c r="Y27" s="18">
        <f>IF(AND('Zaman'!Y9&gt;15,'Zaman'!Y9-15&lt;=5),MIN(INDEX('Vergi'!$F$10:$AR$10,MATCH(15,'Zaman'!$F$9:$AR$9,0))-SUM(F27:X27),MAX(0,'Vergi'!Y11-SUM(Y13:Y26))),0)</f>
        <v/>
      </c>
      <c r="Z27" s="18">
        <f>IF(AND('Zaman'!Z9&gt;15,'Zaman'!Z9-15&lt;=5),MIN(INDEX('Vergi'!$F$10:$AR$10,MATCH(15,'Zaman'!$F$9:$AR$9,0))-SUM(F27:Y27),MAX(0,'Vergi'!Z11-SUM(Z13:Z26))),0)</f>
        <v/>
      </c>
      <c r="AA27" s="18">
        <f>IF(AND('Zaman'!AA9&gt;15,'Zaman'!AA9-15&lt;=5),MIN(INDEX('Vergi'!$F$10:$AR$10,MATCH(15,'Zaman'!$F$9:$AR$9,0))-SUM(F27:Z27),MAX(0,'Vergi'!AA11-SUM(AA13:AA26))),0)</f>
        <v/>
      </c>
      <c r="AB27" s="18">
        <f>IF(AND('Zaman'!AB9&gt;15,'Zaman'!AB9-15&lt;=5),MIN(INDEX('Vergi'!$F$10:$AR$10,MATCH(15,'Zaman'!$F$9:$AR$9,0))-SUM(F27:AA27),MAX(0,'Vergi'!AB11-SUM(AB13:AB26))),0)</f>
        <v/>
      </c>
      <c r="AC27" s="18">
        <f>IF(AND('Zaman'!AC9&gt;15,'Zaman'!AC9-15&lt;=5),MIN(INDEX('Vergi'!$F$10:$AR$10,MATCH(15,'Zaman'!$F$9:$AR$9,0))-SUM(F27:AB27),MAX(0,'Vergi'!AC11-SUM(AC13:AC26))),0)</f>
        <v/>
      </c>
      <c r="AD27" s="18">
        <f>IF(AND('Zaman'!AD9&gt;15,'Zaman'!AD9-15&lt;=5),MIN(INDEX('Vergi'!$F$10:$AR$10,MATCH(15,'Zaman'!$F$9:$AR$9,0))-SUM(F27:AC27),MAX(0,'Vergi'!AD11-SUM(AD13:AD26))),0)</f>
        <v/>
      </c>
      <c r="AE27" s="18">
        <f>IF(AND('Zaman'!AE9&gt;15,'Zaman'!AE9-15&lt;=5),MIN(INDEX('Vergi'!$F$10:$AR$10,MATCH(15,'Zaman'!$F$9:$AR$9,0))-SUM(F27:AD27),MAX(0,'Vergi'!AE11-SUM(AE13:AE26))),0)</f>
        <v/>
      </c>
      <c r="AF27" s="18">
        <f>IF(AND('Zaman'!AF9&gt;15,'Zaman'!AF9-15&lt;=5),MIN(INDEX('Vergi'!$F$10:$AR$10,MATCH(15,'Zaman'!$F$9:$AR$9,0))-SUM(F27:AE27),MAX(0,'Vergi'!AF11-SUM(AF13:AF26))),0)</f>
        <v/>
      </c>
      <c r="AG27" s="18">
        <f>IF(AND('Zaman'!AG9&gt;15,'Zaman'!AG9-15&lt;=5),MIN(INDEX('Vergi'!$F$10:$AR$10,MATCH(15,'Zaman'!$F$9:$AR$9,0))-SUM(F27:AF27),MAX(0,'Vergi'!AG11-SUM(AG13:AG26))),0)</f>
        <v/>
      </c>
      <c r="AH27" s="18">
        <f>IF(AND('Zaman'!AH9&gt;15,'Zaman'!AH9-15&lt;=5),MIN(INDEX('Vergi'!$F$10:$AR$10,MATCH(15,'Zaman'!$F$9:$AR$9,0))-SUM(F27:AG27),MAX(0,'Vergi'!AH11-SUM(AH13:AH26))),0)</f>
        <v/>
      </c>
      <c r="AI27" s="18">
        <f>IF(AND('Zaman'!AI9&gt;15,'Zaman'!AI9-15&lt;=5),MIN(INDEX('Vergi'!$F$10:$AR$10,MATCH(15,'Zaman'!$F$9:$AR$9,0))-SUM(F27:AH27),MAX(0,'Vergi'!AI11-SUM(AI13:AI26))),0)</f>
        <v/>
      </c>
      <c r="AJ27" s="18">
        <f>IF(AND('Zaman'!AJ9&gt;15,'Zaman'!AJ9-15&lt;=5),MIN(INDEX('Vergi'!$F$10:$AR$10,MATCH(15,'Zaman'!$F$9:$AR$9,0))-SUM(F27:AI27),MAX(0,'Vergi'!AJ11-SUM(AJ13:AJ26))),0)</f>
        <v/>
      </c>
      <c r="AK27" s="18">
        <f>IF(AND('Zaman'!AK9&gt;15,'Zaman'!AK9-15&lt;=5),MIN(INDEX('Vergi'!$F$10:$AR$10,MATCH(15,'Zaman'!$F$9:$AR$9,0))-SUM(F27:AJ27),MAX(0,'Vergi'!AK11-SUM(AK13:AK26))),0)</f>
        <v/>
      </c>
      <c r="AL27" s="18">
        <f>IF(AND('Zaman'!AL9&gt;15,'Zaman'!AL9-15&lt;=5),MIN(INDEX('Vergi'!$F$10:$AR$10,MATCH(15,'Zaman'!$F$9:$AR$9,0))-SUM(F27:AK27),MAX(0,'Vergi'!AL11-SUM(AL13:AL26))),0)</f>
        <v/>
      </c>
      <c r="AM27" s="18">
        <f>IF(AND('Zaman'!AM9&gt;15,'Zaman'!AM9-15&lt;=5),MIN(INDEX('Vergi'!$F$10:$AR$10,MATCH(15,'Zaman'!$F$9:$AR$9,0))-SUM(F27:AL27),MAX(0,'Vergi'!AM11-SUM(AM13:AM26))),0)</f>
        <v/>
      </c>
      <c r="AN27" s="18">
        <f>IF(AND('Zaman'!AN9&gt;15,'Zaman'!AN9-15&lt;=5),MIN(INDEX('Vergi'!$F$10:$AR$10,MATCH(15,'Zaman'!$F$9:$AR$9,0))-SUM(F27:AM27),MAX(0,'Vergi'!AN11-SUM(AN13:AN26))),0)</f>
        <v/>
      </c>
      <c r="AO27" s="18">
        <f>IF(AND('Zaman'!AO9&gt;15,'Zaman'!AO9-15&lt;=5),MIN(INDEX('Vergi'!$F$10:$AR$10,MATCH(15,'Zaman'!$F$9:$AR$9,0))-SUM(F27:AN27),MAX(0,'Vergi'!AO11-SUM(AO13:AO26))),0)</f>
        <v/>
      </c>
      <c r="AP27" s="18">
        <f>IF(AND('Zaman'!AP9&gt;15,'Zaman'!AP9-15&lt;=5),MIN(INDEX('Vergi'!$F$10:$AR$10,MATCH(15,'Zaman'!$F$9:$AR$9,0))-SUM(F27:AO27),MAX(0,'Vergi'!AP11-SUM(AP13:AP26))),0)</f>
        <v/>
      </c>
      <c r="AQ27" s="18">
        <f>IF(AND('Zaman'!AQ9&gt;15,'Zaman'!AQ9-15&lt;=5),MIN(INDEX('Vergi'!$F$10:$AR$10,MATCH(15,'Zaman'!$F$9:$AR$9,0))-SUM(F27:AP27),MAX(0,'Vergi'!AQ11-SUM(AQ13:AQ26))),0)</f>
        <v/>
      </c>
      <c r="AR27" s="18">
        <f>IF(AND('Zaman'!AR9&gt;15,'Zaman'!AR9-15&lt;=5),MIN(INDEX('Vergi'!$F$10:$AR$10,MATCH(15,'Zaman'!$F$9:$AR$9,0))-SUM(F27:AQ27),MAX(0,'Vergi'!AR11-SUM(AR13:AR26))),0)</f>
        <v/>
      </c>
    </row>
    <row r="28">
      <c r="A28" t="inlineStr">
        <is>
          <t>Zarar yılı 16 — kullanım</t>
        </is>
      </c>
      <c r="B28" t="inlineStr">
        <is>
          <t>USD</t>
        </is>
      </c>
      <c r="F28" s="18">
        <f>IF(AND('Zaman'!F9&gt;16,'Zaman'!F9-16&lt;=5),MIN(INDEX('Vergi'!$F$10:$AR$10,MATCH(16,'Zaman'!$F$9:$AR$9,0))-0,MAX(0,'Vergi'!F11-SUM(F13:F27))),0)</f>
        <v/>
      </c>
      <c r="G28" s="18">
        <f>IF(AND('Zaman'!G9&gt;16,'Zaman'!G9-16&lt;=5),MIN(INDEX('Vergi'!$F$10:$AR$10,MATCH(16,'Zaman'!$F$9:$AR$9,0))-SUM(F28:F28),MAX(0,'Vergi'!G11-SUM(G13:G27))),0)</f>
        <v/>
      </c>
      <c r="H28" s="18">
        <f>IF(AND('Zaman'!H9&gt;16,'Zaman'!H9-16&lt;=5),MIN(INDEX('Vergi'!$F$10:$AR$10,MATCH(16,'Zaman'!$F$9:$AR$9,0))-SUM(F28:G28),MAX(0,'Vergi'!H11-SUM(H13:H27))),0)</f>
        <v/>
      </c>
      <c r="I28" s="18">
        <f>IF(AND('Zaman'!I9&gt;16,'Zaman'!I9-16&lt;=5),MIN(INDEX('Vergi'!$F$10:$AR$10,MATCH(16,'Zaman'!$F$9:$AR$9,0))-SUM(F28:H28),MAX(0,'Vergi'!I11-SUM(I13:I27))),0)</f>
        <v/>
      </c>
      <c r="J28" s="18">
        <f>IF(AND('Zaman'!J9&gt;16,'Zaman'!J9-16&lt;=5),MIN(INDEX('Vergi'!$F$10:$AR$10,MATCH(16,'Zaman'!$F$9:$AR$9,0))-SUM(F28:I28),MAX(0,'Vergi'!J11-SUM(J13:J27))),0)</f>
        <v/>
      </c>
      <c r="K28" s="18">
        <f>IF(AND('Zaman'!K9&gt;16,'Zaman'!K9-16&lt;=5),MIN(INDEX('Vergi'!$F$10:$AR$10,MATCH(16,'Zaman'!$F$9:$AR$9,0))-SUM(F28:J28),MAX(0,'Vergi'!K11-SUM(K13:K27))),0)</f>
        <v/>
      </c>
      <c r="L28" s="18">
        <f>IF(AND('Zaman'!L9&gt;16,'Zaman'!L9-16&lt;=5),MIN(INDEX('Vergi'!$F$10:$AR$10,MATCH(16,'Zaman'!$F$9:$AR$9,0))-SUM(F28:K28),MAX(0,'Vergi'!L11-SUM(L13:L27))),0)</f>
        <v/>
      </c>
      <c r="M28" s="18">
        <f>IF(AND('Zaman'!M9&gt;16,'Zaman'!M9-16&lt;=5),MIN(INDEX('Vergi'!$F$10:$AR$10,MATCH(16,'Zaman'!$F$9:$AR$9,0))-SUM(F28:L28),MAX(0,'Vergi'!M11-SUM(M13:M27))),0)</f>
        <v/>
      </c>
      <c r="N28" s="18">
        <f>IF(AND('Zaman'!N9&gt;16,'Zaman'!N9-16&lt;=5),MIN(INDEX('Vergi'!$F$10:$AR$10,MATCH(16,'Zaman'!$F$9:$AR$9,0))-SUM(F28:M28),MAX(0,'Vergi'!N11-SUM(N13:N27))),0)</f>
        <v/>
      </c>
      <c r="O28" s="18">
        <f>IF(AND('Zaman'!O9&gt;16,'Zaman'!O9-16&lt;=5),MIN(INDEX('Vergi'!$F$10:$AR$10,MATCH(16,'Zaman'!$F$9:$AR$9,0))-SUM(F28:N28),MAX(0,'Vergi'!O11-SUM(O13:O27))),0)</f>
        <v/>
      </c>
      <c r="P28" s="18">
        <f>IF(AND('Zaman'!P9&gt;16,'Zaman'!P9-16&lt;=5),MIN(INDEX('Vergi'!$F$10:$AR$10,MATCH(16,'Zaman'!$F$9:$AR$9,0))-SUM(F28:O28),MAX(0,'Vergi'!P11-SUM(P13:P27))),0)</f>
        <v/>
      </c>
      <c r="Q28" s="18">
        <f>IF(AND('Zaman'!Q9&gt;16,'Zaman'!Q9-16&lt;=5),MIN(INDEX('Vergi'!$F$10:$AR$10,MATCH(16,'Zaman'!$F$9:$AR$9,0))-SUM(F28:P28),MAX(0,'Vergi'!Q11-SUM(Q13:Q27))),0)</f>
        <v/>
      </c>
      <c r="R28" s="18">
        <f>IF(AND('Zaman'!R9&gt;16,'Zaman'!R9-16&lt;=5),MIN(INDEX('Vergi'!$F$10:$AR$10,MATCH(16,'Zaman'!$F$9:$AR$9,0))-SUM(F28:Q28),MAX(0,'Vergi'!R11-SUM(R13:R27))),0)</f>
        <v/>
      </c>
      <c r="S28" s="18">
        <f>IF(AND('Zaman'!S9&gt;16,'Zaman'!S9-16&lt;=5),MIN(INDEX('Vergi'!$F$10:$AR$10,MATCH(16,'Zaman'!$F$9:$AR$9,0))-SUM(F28:R28),MAX(0,'Vergi'!S11-SUM(S13:S27))),0)</f>
        <v/>
      </c>
      <c r="T28" s="18">
        <f>IF(AND('Zaman'!T9&gt;16,'Zaman'!T9-16&lt;=5),MIN(INDEX('Vergi'!$F$10:$AR$10,MATCH(16,'Zaman'!$F$9:$AR$9,0))-SUM(F28:S28),MAX(0,'Vergi'!T11-SUM(T13:T27))),0)</f>
        <v/>
      </c>
      <c r="U28" s="18">
        <f>IF(AND('Zaman'!U9&gt;16,'Zaman'!U9-16&lt;=5),MIN(INDEX('Vergi'!$F$10:$AR$10,MATCH(16,'Zaman'!$F$9:$AR$9,0))-SUM(F28:T28),MAX(0,'Vergi'!U11-SUM(U13:U27))),0)</f>
        <v/>
      </c>
      <c r="V28" s="18">
        <f>IF(AND('Zaman'!V9&gt;16,'Zaman'!V9-16&lt;=5),MIN(INDEX('Vergi'!$F$10:$AR$10,MATCH(16,'Zaman'!$F$9:$AR$9,0))-SUM(F28:U28),MAX(0,'Vergi'!V11-SUM(V13:V27))),0)</f>
        <v/>
      </c>
      <c r="W28" s="18">
        <f>IF(AND('Zaman'!W9&gt;16,'Zaman'!W9-16&lt;=5),MIN(INDEX('Vergi'!$F$10:$AR$10,MATCH(16,'Zaman'!$F$9:$AR$9,0))-SUM(F28:V28),MAX(0,'Vergi'!W11-SUM(W13:W27))),0)</f>
        <v/>
      </c>
      <c r="X28" s="18">
        <f>IF(AND('Zaman'!X9&gt;16,'Zaman'!X9-16&lt;=5),MIN(INDEX('Vergi'!$F$10:$AR$10,MATCH(16,'Zaman'!$F$9:$AR$9,0))-SUM(F28:W28),MAX(0,'Vergi'!X11-SUM(X13:X27))),0)</f>
        <v/>
      </c>
      <c r="Y28" s="18">
        <f>IF(AND('Zaman'!Y9&gt;16,'Zaman'!Y9-16&lt;=5),MIN(INDEX('Vergi'!$F$10:$AR$10,MATCH(16,'Zaman'!$F$9:$AR$9,0))-SUM(F28:X28),MAX(0,'Vergi'!Y11-SUM(Y13:Y27))),0)</f>
        <v/>
      </c>
      <c r="Z28" s="18">
        <f>IF(AND('Zaman'!Z9&gt;16,'Zaman'!Z9-16&lt;=5),MIN(INDEX('Vergi'!$F$10:$AR$10,MATCH(16,'Zaman'!$F$9:$AR$9,0))-SUM(F28:Y28),MAX(0,'Vergi'!Z11-SUM(Z13:Z27))),0)</f>
        <v/>
      </c>
      <c r="AA28" s="18">
        <f>IF(AND('Zaman'!AA9&gt;16,'Zaman'!AA9-16&lt;=5),MIN(INDEX('Vergi'!$F$10:$AR$10,MATCH(16,'Zaman'!$F$9:$AR$9,0))-SUM(F28:Z28),MAX(0,'Vergi'!AA11-SUM(AA13:AA27))),0)</f>
        <v/>
      </c>
      <c r="AB28" s="18">
        <f>IF(AND('Zaman'!AB9&gt;16,'Zaman'!AB9-16&lt;=5),MIN(INDEX('Vergi'!$F$10:$AR$10,MATCH(16,'Zaman'!$F$9:$AR$9,0))-SUM(F28:AA28),MAX(0,'Vergi'!AB11-SUM(AB13:AB27))),0)</f>
        <v/>
      </c>
      <c r="AC28" s="18">
        <f>IF(AND('Zaman'!AC9&gt;16,'Zaman'!AC9-16&lt;=5),MIN(INDEX('Vergi'!$F$10:$AR$10,MATCH(16,'Zaman'!$F$9:$AR$9,0))-SUM(F28:AB28),MAX(0,'Vergi'!AC11-SUM(AC13:AC27))),0)</f>
        <v/>
      </c>
      <c r="AD28" s="18">
        <f>IF(AND('Zaman'!AD9&gt;16,'Zaman'!AD9-16&lt;=5),MIN(INDEX('Vergi'!$F$10:$AR$10,MATCH(16,'Zaman'!$F$9:$AR$9,0))-SUM(F28:AC28),MAX(0,'Vergi'!AD11-SUM(AD13:AD27))),0)</f>
        <v/>
      </c>
      <c r="AE28" s="18">
        <f>IF(AND('Zaman'!AE9&gt;16,'Zaman'!AE9-16&lt;=5),MIN(INDEX('Vergi'!$F$10:$AR$10,MATCH(16,'Zaman'!$F$9:$AR$9,0))-SUM(F28:AD28),MAX(0,'Vergi'!AE11-SUM(AE13:AE27))),0)</f>
        <v/>
      </c>
      <c r="AF28" s="18">
        <f>IF(AND('Zaman'!AF9&gt;16,'Zaman'!AF9-16&lt;=5),MIN(INDEX('Vergi'!$F$10:$AR$10,MATCH(16,'Zaman'!$F$9:$AR$9,0))-SUM(F28:AE28),MAX(0,'Vergi'!AF11-SUM(AF13:AF27))),0)</f>
        <v/>
      </c>
      <c r="AG28" s="18">
        <f>IF(AND('Zaman'!AG9&gt;16,'Zaman'!AG9-16&lt;=5),MIN(INDEX('Vergi'!$F$10:$AR$10,MATCH(16,'Zaman'!$F$9:$AR$9,0))-SUM(F28:AF28),MAX(0,'Vergi'!AG11-SUM(AG13:AG27))),0)</f>
        <v/>
      </c>
      <c r="AH28" s="18">
        <f>IF(AND('Zaman'!AH9&gt;16,'Zaman'!AH9-16&lt;=5),MIN(INDEX('Vergi'!$F$10:$AR$10,MATCH(16,'Zaman'!$F$9:$AR$9,0))-SUM(F28:AG28),MAX(0,'Vergi'!AH11-SUM(AH13:AH27))),0)</f>
        <v/>
      </c>
      <c r="AI28" s="18">
        <f>IF(AND('Zaman'!AI9&gt;16,'Zaman'!AI9-16&lt;=5),MIN(INDEX('Vergi'!$F$10:$AR$10,MATCH(16,'Zaman'!$F$9:$AR$9,0))-SUM(F28:AH28),MAX(0,'Vergi'!AI11-SUM(AI13:AI27))),0)</f>
        <v/>
      </c>
      <c r="AJ28" s="18">
        <f>IF(AND('Zaman'!AJ9&gt;16,'Zaman'!AJ9-16&lt;=5),MIN(INDEX('Vergi'!$F$10:$AR$10,MATCH(16,'Zaman'!$F$9:$AR$9,0))-SUM(F28:AI28),MAX(0,'Vergi'!AJ11-SUM(AJ13:AJ27))),0)</f>
        <v/>
      </c>
      <c r="AK28" s="18">
        <f>IF(AND('Zaman'!AK9&gt;16,'Zaman'!AK9-16&lt;=5),MIN(INDEX('Vergi'!$F$10:$AR$10,MATCH(16,'Zaman'!$F$9:$AR$9,0))-SUM(F28:AJ28),MAX(0,'Vergi'!AK11-SUM(AK13:AK27))),0)</f>
        <v/>
      </c>
      <c r="AL28" s="18">
        <f>IF(AND('Zaman'!AL9&gt;16,'Zaman'!AL9-16&lt;=5),MIN(INDEX('Vergi'!$F$10:$AR$10,MATCH(16,'Zaman'!$F$9:$AR$9,0))-SUM(F28:AK28),MAX(0,'Vergi'!AL11-SUM(AL13:AL27))),0)</f>
        <v/>
      </c>
      <c r="AM28" s="18">
        <f>IF(AND('Zaman'!AM9&gt;16,'Zaman'!AM9-16&lt;=5),MIN(INDEX('Vergi'!$F$10:$AR$10,MATCH(16,'Zaman'!$F$9:$AR$9,0))-SUM(F28:AL28),MAX(0,'Vergi'!AM11-SUM(AM13:AM27))),0)</f>
        <v/>
      </c>
      <c r="AN28" s="18">
        <f>IF(AND('Zaman'!AN9&gt;16,'Zaman'!AN9-16&lt;=5),MIN(INDEX('Vergi'!$F$10:$AR$10,MATCH(16,'Zaman'!$F$9:$AR$9,0))-SUM(F28:AM28),MAX(0,'Vergi'!AN11-SUM(AN13:AN27))),0)</f>
        <v/>
      </c>
      <c r="AO28" s="18">
        <f>IF(AND('Zaman'!AO9&gt;16,'Zaman'!AO9-16&lt;=5),MIN(INDEX('Vergi'!$F$10:$AR$10,MATCH(16,'Zaman'!$F$9:$AR$9,0))-SUM(F28:AN28),MAX(0,'Vergi'!AO11-SUM(AO13:AO27))),0)</f>
        <v/>
      </c>
      <c r="AP28" s="18">
        <f>IF(AND('Zaman'!AP9&gt;16,'Zaman'!AP9-16&lt;=5),MIN(INDEX('Vergi'!$F$10:$AR$10,MATCH(16,'Zaman'!$F$9:$AR$9,0))-SUM(F28:AO28),MAX(0,'Vergi'!AP11-SUM(AP13:AP27))),0)</f>
        <v/>
      </c>
      <c r="AQ28" s="18">
        <f>IF(AND('Zaman'!AQ9&gt;16,'Zaman'!AQ9-16&lt;=5),MIN(INDEX('Vergi'!$F$10:$AR$10,MATCH(16,'Zaman'!$F$9:$AR$9,0))-SUM(F28:AP28),MAX(0,'Vergi'!AQ11-SUM(AQ13:AQ27))),0)</f>
        <v/>
      </c>
      <c r="AR28" s="18">
        <f>IF(AND('Zaman'!AR9&gt;16,'Zaman'!AR9-16&lt;=5),MIN(INDEX('Vergi'!$F$10:$AR$10,MATCH(16,'Zaman'!$F$9:$AR$9,0))-SUM(F28:AQ28),MAX(0,'Vergi'!AR11-SUM(AR13:AR27))),0)</f>
        <v/>
      </c>
    </row>
    <row r="29">
      <c r="A29" t="inlineStr">
        <is>
          <t>Zarar yılı 17 — kullanım</t>
        </is>
      </c>
      <c r="B29" t="inlineStr">
        <is>
          <t>USD</t>
        </is>
      </c>
      <c r="F29" s="18">
        <f>IF(AND('Zaman'!F9&gt;17,'Zaman'!F9-17&lt;=5),MIN(INDEX('Vergi'!$F$10:$AR$10,MATCH(17,'Zaman'!$F$9:$AR$9,0))-0,MAX(0,'Vergi'!F11-SUM(F13:F28))),0)</f>
        <v/>
      </c>
      <c r="G29" s="18">
        <f>IF(AND('Zaman'!G9&gt;17,'Zaman'!G9-17&lt;=5),MIN(INDEX('Vergi'!$F$10:$AR$10,MATCH(17,'Zaman'!$F$9:$AR$9,0))-SUM(F29:F29),MAX(0,'Vergi'!G11-SUM(G13:G28))),0)</f>
        <v/>
      </c>
      <c r="H29" s="18">
        <f>IF(AND('Zaman'!H9&gt;17,'Zaman'!H9-17&lt;=5),MIN(INDEX('Vergi'!$F$10:$AR$10,MATCH(17,'Zaman'!$F$9:$AR$9,0))-SUM(F29:G29),MAX(0,'Vergi'!H11-SUM(H13:H28))),0)</f>
        <v/>
      </c>
      <c r="I29" s="18">
        <f>IF(AND('Zaman'!I9&gt;17,'Zaman'!I9-17&lt;=5),MIN(INDEX('Vergi'!$F$10:$AR$10,MATCH(17,'Zaman'!$F$9:$AR$9,0))-SUM(F29:H29),MAX(0,'Vergi'!I11-SUM(I13:I28))),0)</f>
        <v/>
      </c>
      <c r="J29" s="18">
        <f>IF(AND('Zaman'!J9&gt;17,'Zaman'!J9-17&lt;=5),MIN(INDEX('Vergi'!$F$10:$AR$10,MATCH(17,'Zaman'!$F$9:$AR$9,0))-SUM(F29:I29),MAX(0,'Vergi'!J11-SUM(J13:J28))),0)</f>
        <v/>
      </c>
      <c r="K29" s="18">
        <f>IF(AND('Zaman'!K9&gt;17,'Zaman'!K9-17&lt;=5),MIN(INDEX('Vergi'!$F$10:$AR$10,MATCH(17,'Zaman'!$F$9:$AR$9,0))-SUM(F29:J29),MAX(0,'Vergi'!K11-SUM(K13:K28))),0)</f>
        <v/>
      </c>
      <c r="L29" s="18">
        <f>IF(AND('Zaman'!L9&gt;17,'Zaman'!L9-17&lt;=5),MIN(INDEX('Vergi'!$F$10:$AR$10,MATCH(17,'Zaman'!$F$9:$AR$9,0))-SUM(F29:K29),MAX(0,'Vergi'!L11-SUM(L13:L28))),0)</f>
        <v/>
      </c>
      <c r="M29" s="18">
        <f>IF(AND('Zaman'!M9&gt;17,'Zaman'!M9-17&lt;=5),MIN(INDEX('Vergi'!$F$10:$AR$10,MATCH(17,'Zaman'!$F$9:$AR$9,0))-SUM(F29:L29),MAX(0,'Vergi'!M11-SUM(M13:M28))),0)</f>
        <v/>
      </c>
      <c r="N29" s="18">
        <f>IF(AND('Zaman'!N9&gt;17,'Zaman'!N9-17&lt;=5),MIN(INDEX('Vergi'!$F$10:$AR$10,MATCH(17,'Zaman'!$F$9:$AR$9,0))-SUM(F29:M29),MAX(0,'Vergi'!N11-SUM(N13:N28))),0)</f>
        <v/>
      </c>
      <c r="O29" s="18">
        <f>IF(AND('Zaman'!O9&gt;17,'Zaman'!O9-17&lt;=5),MIN(INDEX('Vergi'!$F$10:$AR$10,MATCH(17,'Zaman'!$F$9:$AR$9,0))-SUM(F29:N29),MAX(0,'Vergi'!O11-SUM(O13:O28))),0)</f>
        <v/>
      </c>
      <c r="P29" s="18">
        <f>IF(AND('Zaman'!P9&gt;17,'Zaman'!P9-17&lt;=5),MIN(INDEX('Vergi'!$F$10:$AR$10,MATCH(17,'Zaman'!$F$9:$AR$9,0))-SUM(F29:O29),MAX(0,'Vergi'!P11-SUM(P13:P28))),0)</f>
        <v/>
      </c>
      <c r="Q29" s="18">
        <f>IF(AND('Zaman'!Q9&gt;17,'Zaman'!Q9-17&lt;=5),MIN(INDEX('Vergi'!$F$10:$AR$10,MATCH(17,'Zaman'!$F$9:$AR$9,0))-SUM(F29:P29),MAX(0,'Vergi'!Q11-SUM(Q13:Q28))),0)</f>
        <v/>
      </c>
      <c r="R29" s="18">
        <f>IF(AND('Zaman'!R9&gt;17,'Zaman'!R9-17&lt;=5),MIN(INDEX('Vergi'!$F$10:$AR$10,MATCH(17,'Zaman'!$F$9:$AR$9,0))-SUM(F29:Q29),MAX(0,'Vergi'!R11-SUM(R13:R28))),0)</f>
        <v/>
      </c>
      <c r="S29" s="18">
        <f>IF(AND('Zaman'!S9&gt;17,'Zaman'!S9-17&lt;=5),MIN(INDEX('Vergi'!$F$10:$AR$10,MATCH(17,'Zaman'!$F$9:$AR$9,0))-SUM(F29:R29),MAX(0,'Vergi'!S11-SUM(S13:S28))),0)</f>
        <v/>
      </c>
      <c r="T29" s="18">
        <f>IF(AND('Zaman'!T9&gt;17,'Zaman'!T9-17&lt;=5),MIN(INDEX('Vergi'!$F$10:$AR$10,MATCH(17,'Zaman'!$F$9:$AR$9,0))-SUM(F29:S29),MAX(0,'Vergi'!T11-SUM(T13:T28))),0)</f>
        <v/>
      </c>
      <c r="U29" s="18">
        <f>IF(AND('Zaman'!U9&gt;17,'Zaman'!U9-17&lt;=5),MIN(INDEX('Vergi'!$F$10:$AR$10,MATCH(17,'Zaman'!$F$9:$AR$9,0))-SUM(F29:T29),MAX(0,'Vergi'!U11-SUM(U13:U28))),0)</f>
        <v/>
      </c>
      <c r="V29" s="18">
        <f>IF(AND('Zaman'!V9&gt;17,'Zaman'!V9-17&lt;=5),MIN(INDEX('Vergi'!$F$10:$AR$10,MATCH(17,'Zaman'!$F$9:$AR$9,0))-SUM(F29:U29),MAX(0,'Vergi'!V11-SUM(V13:V28))),0)</f>
        <v/>
      </c>
      <c r="W29" s="18">
        <f>IF(AND('Zaman'!W9&gt;17,'Zaman'!W9-17&lt;=5),MIN(INDEX('Vergi'!$F$10:$AR$10,MATCH(17,'Zaman'!$F$9:$AR$9,0))-SUM(F29:V29),MAX(0,'Vergi'!W11-SUM(W13:W28))),0)</f>
        <v/>
      </c>
      <c r="X29" s="18">
        <f>IF(AND('Zaman'!X9&gt;17,'Zaman'!X9-17&lt;=5),MIN(INDEX('Vergi'!$F$10:$AR$10,MATCH(17,'Zaman'!$F$9:$AR$9,0))-SUM(F29:W29),MAX(0,'Vergi'!X11-SUM(X13:X28))),0)</f>
        <v/>
      </c>
      <c r="Y29" s="18">
        <f>IF(AND('Zaman'!Y9&gt;17,'Zaman'!Y9-17&lt;=5),MIN(INDEX('Vergi'!$F$10:$AR$10,MATCH(17,'Zaman'!$F$9:$AR$9,0))-SUM(F29:X29),MAX(0,'Vergi'!Y11-SUM(Y13:Y28))),0)</f>
        <v/>
      </c>
      <c r="Z29" s="18">
        <f>IF(AND('Zaman'!Z9&gt;17,'Zaman'!Z9-17&lt;=5),MIN(INDEX('Vergi'!$F$10:$AR$10,MATCH(17,'Zaman'!$F$9:$AR$9,0))-SUM(F29:Y29),MAX(0,'Vergi'!Z11-SUM(Z13:Z28))),0)</f>
        <v/>
      </c>
      <c r="AA29" s="18">
        <f>IF(AND('Zaman'!AA9&gt;17,'Zaman'!AA9-17&lt;=5),MIN(INDEX('Vergi'!$F$10:$AR$10,MATCH(17,'Zaman'!$F$9:$AR$9,0))-SUM(F29:Z29),MAX(0,'Vergi'!AA11-SUM(AA13:AA28))),0)</f>
        <v/>
      </c>
      <c r="AB29" s="18">
        <f>IF(AND('Zaman'!AB9&gt;17,'Zaman'!AB9-17&lt;=5),MIN(INDEX('Vergi'!$F$10:$AR$10,MATCH(17,'Zaman'!$F$9:$AR$9,0))-SUM(F29:AA29),MAX(0,'Vergi'!AB11-SUM(AB13:AB28))),0)</f>
        <v/>
      </c>
      <c r="AC29" s="18">
        <f>IF(AND('Zaman'!AC9&gt;17,'Zaman'!AC9-17&lt;=5),MIN(INDEX('Vergi'!$F$10:$AR$10,MATCH(17,'Zaman'!$F$9:$AR$9,0))-SUM(F29:AB29),MAX(0,'Vergi'!AC11-SUM(AC13:AC28))),0)</f>
        <v/>
      </c>
      <c r="AD29" s="18">
        <f>IF(AND('Zaman'!AD9&gt;17,'Zaman'!AD9-17&lt;=5),MIN(INDEX('Vergi'!$F$10:$AR$10,MATCH(17,'Zaman'!$F$9:$AR$9,0))-SUM(F29:AC29),MAX(0,'Vergi'!AD11-SUM(AD13:AD28))),0)</f>
        <v/>
      </c>
      <c r="AE29" s="18">
        <f>IF(AND('Zaman'!AE9&gt;17,'Zaman'!AE9-17&lt;=5),MIN(INDEX('Vergi'!$F$10:$AR$10,MATCH(17,'Zaman'!$F$9:$AR$9,0))-SUM(F29:AD29),MAX(0,'Vergi'!AE11-SUM(AE13:AE28))),0)</f>
        <v/>
      </c>
      <c r="AF29" s="18">
        <f>IF(AND('Zaman'!AF9&gt;17,'Zaman'!AF9-17&lt;=5),MIN(INDEX('Vergi'!$F$10:$AR$10,MATCH(17,'Zaman'!$F$9:$AR$9,0))-SUM(F29:AE29),MAX(0,'Vergi'!AF11-SUM(AF13:AF28))),0)</f>
        <v/>
      </c>
      <c r="AG29" s="18">
        <f>IF(AND('Zaman'!AG9&gt;17,'Zaman'!AG9-17&lt;=5),MIN(INDEX('Vergi'!$F$10:$AR$10,MATCH(17,'Zaman'!$F$9:$AR$9,0))-SUM(F29:AF29),MAX(0,'Vergi'!AG11-SUM(AG13:AG28))),0)</f>
        <v/>
      </c>
      <c r="AH29" s="18">
        <f>IF(AND('Zaman'!AH9&gt;17,'Zaman'!AH9-17&lt;=5),MIN(INDEX('Vergi'!$F$10:$AR$10,MATCH(17,'Zaman'!$F$9:$AR$9,0))-SUM(F29:AG29),MAX(0,'Vergi'!AH11-SUM(AH13:AH28))),0)</f>
        <v/>
      </c>
      <c r="AI29" s="18">
        <f>IF(AND('Zaman'!AI9&gt;17,'Zaman'!AI9-17&lt;=5),MIN(INDEX('Vergi'!$F$10:$AR$10,MATCH(17,'Zaman'!$F$9:$AR$9,0))-SUM(F29:AH29),MAX(0,'Vergi'!AI11-SUM(AI13:AI28))),0)</f>
        <v/>
      </c>
      <c r="AJ29" s="18">
        <f>IF(AND('Zaman'!AJ9&gt;17,'Zaman'!AJ9-17&lt;=5),MIN(INDEX('Vergi'!$F$10:$AR$10,MATCH(17,'Zaman'!$F$9:$AR$9,0))-SUM(F29:AI29),MAX(0,'Vergi'!AJ11-SUM(AJ13:AJ28))),0)</f>
        <v/>
      </c>
      <c r="AK29" s="18">
        <f>IF(AND('Zaman'!AK9&gt;17,'Zaman'!AK9-17&lt;=5),MIN(INDEX('Vergi'!$F$10:$AR$10,MATCH(17,'Zaman'!$F$9:$AR$9,0))-SUM(F29:AJ29),MAX(0,'Vergi'!AK11-SUM(AK13:AK28))),0)</f>
        <v/>
      </c>
      <c r="AL29" s="18">
        <f>IF(AND('Zaman'!AL9&gt;17,'Zaman'!AL9-17&lt;=5),MIN(INDEX('Vergi'!$F$10:$AR$10,MATCH(17,'Zaman'!$F$9:$AR$9,0))-SUM(F29:AK29),MAX(0,'Vergi'!AL11-SUM(AL13:AL28))),0)</f>
        <v/>
      </c>
      <c r="AM29" s="18">
        <f>IF(AND('Zaman'!AM9&gt;17,'Zaman'!AM9-17&lt;=5),MIN(INDEX('Vergi'!$F$10:$AR$10,MATCH(17,'Zaman'!$F$9:$AR$9,0))-SUM(F29:AL29),MAX(0,'Vergi'!AM11-SUM(AM13:AM28))),0)</f>
        <v/>
      </c>
      <c r="AN29" s="18">
        <f>IF(AND('Zaman'!AN9&gt;17,'Zaman'!AN9-17&lt;=5),MIN(INDEX('Vergi'!$F$10:$AR$10,MATCH(17,'Zaman'!$F$9:$AR$9,0))-SUM(F29:AM29),MAX(0,'Vergi'!AN11-SUM(AN13:AN28))),0)</f>
        <v/>
      </c>
      <c r="AO29" s="18">
        <f>IF(AND('Zaman'!AO9&gt;17,'Zaman'!AO9-17&lt;=5),MIN(INDEX('Vergi'!$F$10:$AR$10,MATCH(17,'Zaman'!$F$9:$AR$9,0))-SUM(F29:AN29),MAX(0,'Vergi'!AO11-SUM(AO13:AO28))),0)</f>
        <v/>
      </c>
      <c r="AP29" s="18">
        <f>IF(AND('Zaman'!AP9&gt;17,'Zaman'!AP9-17&lt;=5),MIN(INDEX('Vergi'!$F$10:$AR$10,MATCH(17,'Zaman'!$F$9:$AR$9,0))-SUM(F29:AO29),MAX(0,'Vergi'!AP11-SUM(AP13:AP28))),0)</f>
        <v/>
      </c>
      <c r="AQ29" s="18">
        <f>IF(AND('Zaman'!AQ9&gt;17,'Zaman'!AQ9-17&lt;=5),MIN(INDEX('Vergi'!$F$10:$AR$10,MATCH(17,'Zaman'!$F$9:$AR$9,0))-SUM(F29:AP29),MAX(0,'Vergi'!AQ11-SUM(AQ13:AQ28))),0)</f>
        <v/>
      </c>
      <c r="AR29" s="18">
        <f>IF(AND('Zaman'!AR9&gt;17,'Zaman'!AR9-17&lt;=5),MIN(INDEX('Vergi'!$F$10:$AR$10,MATCH(17,'Zaman'!$F$9:$AR$9,0))-SUM(F29:AQ29),MAX(0,'Vergi'!AR11-SUM(AR13:AR28))),0)</f>
        <v/>
      </c>
    </row>
    <row r="30">
      <c r="A30" t="inlineStr">
        <is>
          <t>Zarar yılı 18 — kullanım</t>
        </is>
      </c>
      <c r="B30" t="inlineStr">
        <is>
          <t>USD</t>
        </is>
      </c>
      <c r="F30" s="18">
        <f>IF(AND('Zaman'!F9&gt;18,'Zaman'!F9-18&lt;=5),MIN(INDEX('Vergi'!$F$10:$AR$10,MATCH(18,'Zaman'!$F$9:$AR$9,0))-0,MAX(0,'Vergi'!F11-SUM(F13:F29))),0)</f>
        <v/>
      </c>
      <c r="G30" s="18">
        <f>IF(AND('Zaman'!G9&gt;18,'Zaman'!G9-18&lt;=5),MIN(INDEX('Vergi'!$F$10:$AR$10,MATCH(18,'Zaman'!$F$9:$AR$9,0))-SUM(F30:F30),MAX(0,'Vergi'!G11-SUM(G13:G29))),0)</f>
        <v/>
      </c>
      <c r="H30" s="18">
        <f>IF(AND('Zaman'!H9&gt;18,'Zaman'!H9-18&lt;=5),MIN(INDEX('Vergi'!$F$10:$AR$10,MATCH(18,'Zaman'!$F$9:$AR$9,0))-SUM(F30:G30),MAX(0,'Vergi'!H11-SUM(H13:H29))),0)</f>
        <v/>
      </c>
      <c r="I30" s="18">
        <f>IF(AND('Zaman'!I9&gt;18,'Zaman'!I9-18&lt;=5),MIN(INDEX('Vergi'!$F$10:$AR$10,MATCH(18,'Zaman'!$F$9:$AR$9,0))-SUM(F30:H30),MAX(0,'Vergi'!I11-SUM(I13:I29))),0)</f>
        <v/>
      </c>
      <c r="J30" s="18">
        <f>IF(AND('Zaman'!J9&gt;18,'Zaman'!J9-18&lt;=5),MIN(INDEX('Vergi'!$F$10:$AR$10,MATCH(18,'Zaman'!$F$9:$AR$9,0))-SUM(F30:I30),MAX(0,'Vergi'!J11-SUM(J13:J29))),0)</f>
        <v/>
      </c>
      <c r="K30" s="18">
        <f>IF(AND('Zaman'!K9&gt;18,'Zaman'!K9-18&lt;=5),MIN(INDEX('Vergi'!$F$10:$AR$10,MATCH(18,'Zaman'!$F$9:$AR$9,0))-SUM(F30:J30),MAX(0,'Vergi'!K11-SUM(K13:K29))),0)</f>
        <v/>
      </c>
      <c r="L30" s="18">
        <f>IF(AND('Zaman'!L9&gt;18,'Zaman'!L9-18&lt;=5),MIN(INDEX('Vergi'!$F$10:$AR$10,MATCH(18,'Zaman'!$F$9:$AR$9,0))-SUM(F30:K30),MAX(0,'Vergi'!L11-SUM(L13:L29))),0)</f>
        <v/>
      </c>
      <c r="M30" s="18">
        <f>IF(AND('Zaman'!M9&gt;18,'Zaman'!M9-18&lt;=5),MIN(INDEX('Vergi'!$F$10:$AR$10,MATCH(18,'Zaman'!$F$9:$AR$9,0))-SUM(F30:L30),MAX(0,'Vergi'!M11-SUM(M13:M29))),0)</f>
        <v/>
      </c>
      <c r="N30" s="18">
        <f>IF(AND('Zaman'!N9&gt;18,'Zaman'!N9-18&lt;=5),MIN(INDEX('Vergi'!$F$10:$AR$10,MATCH(18,'Zaman'!$F$9:$AR$9,0))-SUM(F30:M30),MAX(0,'Vergi'!N11-SUM(N13:N29))),0)</f>
        <v/>
      </c>
      <c r="O30" s="18">
        <f>IF(AND('Zaman'!O9&gt;18,'Zaman'!O9-18&lt;=5),MIN(INDEX('Vergi'!$F$10:$AR$10,MATCH(18,'Zaman'!$F$9:$AR$9,0))-SUM(F30:N30),MAX(0,'Vergi'!O11-SUM(O13:O29))),0)</f>
        <v/>
      </c>
      <c r="P30" s="18">
        <f>IF(AND('Zaman'!P9&gt;18,'Zaman'!P9-18&lt;=5),MIN(INDEX('Vergi'!$F$10:$AR$10,MATCH(18,'Zaman'!$F$9:$AR$9,0))-SUM(F30:O30),MAX(0,'Vergi'!P11-SUM(P13:P29))),0)</f>
        <v/>
      </c>
      <c r="Q30" s="18">
        <f>IF(AND('Zaman'!Q9&gt;18,'Zaman'!Q9-18&lt;=5),MIN(INDEX('Vergi'!$F$10:$AR$10,MATCH(18,'Zaman'!$F$9:$AR$9,0))-SUM(F30:P30),MAX(0,'Vergi'!Q11-SUM(Q13:Q29))),0)</f>
        <v/>
      </c>
      <c r="R30" s="18">
        <f>IF(AND('Zaman'!R9&gt;18,'Zaman'!R9-18&lt;=5),MIN(INDEX('Vergi'!$F$10:$AR$10,MATCH(18,'Zaman'!$F$9:$AR$9,0))-SUM(F30:Q30),MAX(0,'Vergi'!R11-SUM(R13:R29))),0)</f>
        <v/>
      </c>
      <c r="S30" s="18">
        <f>IF(AND('Zaman'!S9&gt;18,'Zaman'!S9-18&lt;=5),MIN(INDEX('Vergi'!$F$10:$AR$10,MATCH(18,'Zaman'!$F$9:$AR$9,0))-SUM(F30:R30),MAX(0,'Vergi'!S11-SUM(S13:S29))),0)</f>
        <v/>
      </c>
      <c r="T30" s="18">
        <f>IF(AND('Zaman'!T9&gt;18,'Zaman'!T9-18&lt;=5),MIN(INDEX('Vergi'!$F$10:$AR$10,MATCH(18,'Zaman'!$F$9:$AR$9,0))-SUM(F30:S30),MAX(0,'Vergi'!T11-SUM(T13:T29))),0)</f>
        <v/>
      </c>
      <c r="U30" s="18">
        <f>IF(AND('Zaman'!U9&gt;18,'Zaman'!U9-18&lt;=5),MIN(INDEX('Vergi'!$F$10:$AR$10,MATCH(18,'Zaman'!$F$9:$AR$9,0))-SUM(F30:T30),MAX(0,'Vergi'!U11-SUM(U13:U29))),0)</f>
        <v/>
      </c>
      <c r="V30" s="18">
        <f>IF(AND('Zaman'!V9&gt;18,'Zaman'!V9-18&lt;=5),MIN(INDEX('Vergi'!$F$10:$AR$10,MATCH(18,'Zaman'!$F$9:$AR$9,0))-SUM(F30:U30),MAX(0,'Vergi'!V11-SUM(V13:V29))),0)</f>
        <v/>
      </c>
      <c r="W30" s="18">
        <f>IF(AND('Zaman'!W9&gt;18,'Zaman'!W9-18&lt;=5),MIN(INDEX('Vergi'!$F$10:$AR$10,MATCH(18,'Zaman'!$F$9:$AR$9,0))-SUM(F30:V30),MAX(0,'Vergi'!W11-SUM(W13:W29))),0)</f>
        <v/>
      </c>
      <c r="X30" s="18">
        <f>IF(AND('Zaman'!X9&gt;18,'Zaman'!X9-18&lt;=5),MIN(INDEX('Vergi'!$F$10:$AR$10,MATCH(18,'Zaman'!$F$9:$AR$9,0))-SUM(F30:W30),MAX(0,'Vergi'!X11-SUM(X13:X29))),0)</f>
        <v/>
      </c>
      <c r="Y30" s="18">
        <f>IF(AND('Zaman'!Y9&gt;18,'Zaman'!Y9-18&lt;=5),MIN(INDEX('Vergi'!$F$10:$AR$10,MATCH(18,'Zaman'!$F$9:$AR$9,0))-SUM(F30:X30),MAX(0,'Vergi'!Y11-SUM(Y13:Y29))),0)</f>
        <v/>
      </c>
      <c r="Z30" s="18">
        <f>IF(AND('Zaman'!Z9&gt;18,'Zaman'!Z9-18&lt;=5),MIN(INDEX('Vergi'!$F$10:$AR$10,MATCH(18,'Zaman'!$F$9:$AR$9,0))-SUM(F30:Y30),MAX(0,'Vergi'!Z11-SUM(Z13:Z29))),0)</f>
        <v/>
      </c>
      <c r="AA30" s="18">
        <f>IF(AND('Zaman'!AA9&gt;18,'Zaman'!AA9-18&lt;=5),MIN(INDEX('Vergi'!$F$10:$AR$10,MATCH(18,'Zaman'!$F$9:$AR$9,0))-SUM(F30:Z30),MAX(0,'Vergi'!AA11-SUM(AA13:AA29))),0)</f>
        <v/>
      </c>
      <c r="AB30" s="18">
        <f>IF(AND('Zaman'!AB9&gt;18,'Zaman'!AB9-18&lt;=5),MIN(INDEX('Vergi'!$F$10:$AR$10,MATCH(18,'Zaman'!$F$9:$AR$9,0))-SUM(F30:AA30),MAX(0,'Vergi'!AB11-SUM(AB13:AB29))),0)</f>
        <v/>
      </c>
      <c r="AC30" s="18">
        <f>IF(AND('Zaman'!AC9&gt;18,'Zaman'!AC9-18&lt;=5),MIN(INDEX('Vergi'!$F$10:$AR$10,MATCH(18,'Zaman'!$F$9:$AR$9,0))-SUM(F30:AB30),MAX(0,'Vergi'!AC11-SUM(AC13:AC29))),0)</f>
        <v/>
      </c>
      <c r="AD30" s="18">
        <f>IF(AND('Zaman'!AD9&gt;18,'Zaman'!AD9-18&lt;=5),MIN(INDEX('Vergi'!$F$10:$AR$10,MATCH(18,'Zaman'!$F$9:$AR$9,0))-SUM(F30:AC30),MAX(0,'Vergi'!AD11-SUM(AD13:AD29))),0)</f>
        <v/>
      </c>
      <c r="AE30" s="18">
        <f>IF(AND('Zaman'!AE9&gt;18,'Zaman'!AE9-18&lt;=5),MIN(INDEX('Vergi'!$F$10:$AR$10,MATCH(18,'Zaman'!$F$9:$AR$9,0))-SUM(F30:AD30),MAX(0,'Vergi'!AE11-SUM(AE13:AE29))),0)</f>
        <v/>
      </c>
      <c r="AF30" s="18">
        <f>IF(AND('Zaman'!AF9&gt;18,'Zaman'!AF9-18&lt;=5),MIN(INDEX('Vergi'!$F$10:$AR$10,MATCH(18,'Zaman'!$F$9:$AR$9,0))-SUM(F30:AE30),MAX(0,'Vergi'!AF11-SUM(AF13:AF29))),0)</f>
        <v/>
      </c>
      <c r="AG30" s="18">
        <f>IF(AND('Zaman'!AG9&gt;18,'Zaman'!AG9-18&lt;=5),MIN(INDEX('Vergi'!$F$10:$AR$10,MATCH(18,'Zaman'!$F$9:$AR$9,0))-SUM(F30:AF30),MAX(0,'Vergi'!AG11-SUM(AG13:AG29))),0)</f>
        <v/>
      </c>
      <c r="AH30" s="18">
        <f>IF(AND('Zaman'!AH9&gt;18,'Zaman'!AH9-18&lt;=5),MIN(INDEX('Vergi'!$F$10:$AR$10,MATCH(18,'Zaman'!$F$9:$AR$9,0))-SUM(F30:AG30),MAX(0,'Vergi'!AH11-SUM(AH13:AH29))),0)</f>
        <v/>
      </c>
      <c r="AI30" s="18">
        <f>IF(AND('Zaman'!AI9&gt;18,'Zaman'!AI9-18&lt;=5),MIN(INDEX('Vergi'!$F$10:$AR$10,MATCH(18,'Zaman'!$F$9:$AR$9,0))-SUM(F30:AH30),MAX(0,'Vergi'!AI11-SUM(AI13:AI29))),0)</f>
        <v/>
      </c>
      <c r="AJ30" s="18">
        <f>IF(AND('Zaman'!AJ9&gt;18,'Zaman'!AJ9-18&lt;=5),MIN(INDEX('Vergi'!$F$10:$AR$10,MATCH(18,'Zaman'!$F$9:$AR$9,0))-SUM(F30:AI30),MAX(0,'Vergi'!AJ11-SUM(AJ13:AJ29))),0)</f>
        <v/>
      </c>
      <c r="AK30" s="18">
        <f>IF(AND('Zaman'!AK9&gt;18,'Zaman'!AK9-18&lt;=5),MIN(INDEX('Vergi'!$F$10:$AR$10,MATCH(18,'Zaman'!$F$9:$AR$9,0))-SUM(F30:AJ30),MAX(0,'Vergi'!AK11-SUM(AK13:AK29))),0)</f>
        <v/>
      </c>
      <c r="AL30" s="18">
        <f>IF(AND('Zaman'!AL9&gt;18,'Zaman'!AL9-18&lt;=5),MIN(INDEX('Vergi'!$F$10:$AR$10,MATCH(18,'Zaman'!$F$9:$AR$9,0))-SUM(F30:AK30),MAX(0,'Vergi'!AL11-SUM(AL13:AL29))),0)</f>
        <v/>
      </c>
      <c r="AM30" s="18">
        <f>IF(AND('Zaman'!AM9&gt;18,'Zaman'!AM9-18&lt;=5),MIN(INDEX('Vergi'!$F$10:$AR$10,MATCH(18,'Zaman'!$F$9:$AR$9,0))-SUM(F30:AL30),MAX(0,'Vergi'!AM11-SUM(AM13:AM29))),0)</f>
        <v/>
      </c>
      <c r="AN30" s="18">
        <f>IF(AND('Zaman'!AN9&gt;18,'Zaman'!AN9-18&lt;=5),MIN(INDEX('Vergi'!$F$10:$AR$10,MATCH(18,'Zaman'!$F$9:$AR$9,0))-SUM(F30:AM30),MAX(0,'Vergi'!AN11-SUM(AN13:AN29))),0)</f>
        <v/>
      </c>
      <c r="AO30" s="18">
        <f>IF(AND('Zaman'!AO9&gt;18,'Zaman'!AO9-18&lt;=5),MIN(INDEX('Vergi'!$F$10:$AR$10,MATCH(18,'Zaman'!$F$9:$AR$9,0))-SUM(F30:AN30),MAX(0,'Vergi'!AO11-SUM(AO13:AO29))),0)</f>
        <v/>
      </c>
      <c r="AP30" s="18">
        <f>IF(AND('Zaman'!AP9&gt;18,'Zaman'!AP9-18&lt;=5),MIN(INDEX('Vergi'!$F$10:$AR$10,MATCH(18,'Zaman'!$F$9:$AR$9,0))-SUM(F30:AO30),MAX(0,'Vergi'!AP11-SUM(AP13:AP29))),0)</f>
        <v/>
      </c>
      <c r="AQ30" s="18">
        <f>IF(AND('Zaman'!AQ9&gt;18,'Zaman'!AQ9-18&lt;=5),MIN(INDEX('Vergi'!$F$10:$AR$10,MATCH(18,'Zaman'!$F$9:$AR$9,0))-SUM(F30:AP30),MAX(0,'Vergi'!AQ11-SUM(AQ13:AQ29))),0)</f>
        <v/>
      </c>
      <c r="AR30" s="18">
        <f>IF(AND('Zaman'!AR9&gt;18,'Zaman'!AR9-18&lt;=5),MIN(INDEX('Vergi'!$F$10:$AR$10,MATCH(18,'Zaman'!$F$9:$AR$9,0))-SUM(F30:AQ30),MAX(0,'Vergi'!AR11-SUM(AR13:AR29))),0)</f>
        <v/>
      </c>
    </row>
    <row r="31">
      <c r="A31" t="inlineStr">
        <is>
          <t>Zarar yılı 19 — kullanım</t>
        </is>
      </c>
      <c r="B31" t="inlineStr">
        <is>
          <t>USD</t>
        </is>
      </c>
      <c r="F31" s="18">
        <f>IF(AND('Zaman'!F9&gt;19,'Zaman'!F9-19&lt;=5),MIN(INDEX('Vergi'!$F$10:$AR$10,MATCH(19,'Zaman'!$F$9:$AR$9,0))-0,MAX(0,'Vergi'!F11-SUM(F13:F30))),0)</f>
        <v/>
      </c>
      <c r="G31" s="18">
        <f>IF(AND('Zaman'!G9&gt;19,'Zaman'!G9-19&lt;=5),MIN(INDEX('Vergi'!$F$10:$AR$10,MATCH(19,'Zaman'!$F$9:$AR$9,0))-SUM(F31:F31),MAX(0,'Vergi'!G11-SUM(G13:G30))),0)</f>
        <v/>
      </c>
      <c r="H31" s="18">
        <f>IF(AND('Zaman'!H9&gt;19,'Zaman'!H9-19&lt;=5),MIN(INDEX('Vergi'!$F$10:$AR$10,MATCH(19,'Zaman'!$F$9:$AR$9,0))-SUM(F31:G31),MAX(0,'Vergi'!H11-SUM(H13:H30))),0)</f>
        <v/>
      </c>
      <c r="I31" s="18">
        <f>IF(AND('Zaman'!I9&gt;19,'Zaman'!I9-19&lt;=5),MIN(INDEX('Vergi'!$F$10:$AR$10,MATCH(19,'Zaman'!$F$9:$AR$9,0))-SUM(F31:H31),MAX(0,'Vergi'!I11-SUM(I13:I30))),0)</f>
        <v/>
      </c>
      <c r="J31" s="18">
        <f>IF(AND('Zaman'!J9&gt;19,'Zaman'!J9-19&lt;=5),MIN(INDEX('Vergi'!$F$10:$AR$10,MATCH(19,'Zaman'!$F$9:$AR$9,0))-SUM(F31:I31),MAX(0,'Vergi'!J11-SUM(J13:J30))),0)</f>
        <v/>
      </c>
      <c r="K31" s="18">
        <f>IF(AND('Zaman'!K9&gt;19,'Zaman'!K9-19&lt;=5),MIN(INDEX('Vergi'!$F$10:$AR$10,MATCH(19,'Zaman'!$F$9:$AR$9,0))-SUM(F31:J31),MAX(0,'Vergi'!K11-SUM(K13:K30))),0)</f>
        <v/>
      </c>
      <c r="L31" s="18">
        <f>IF(AND('Zaman'!L9&gt;19,'Zaman'!L9-19&lt;=5),MIN(INDEX('Vergi'!$F$10:$AR$10,MATCH(19,'Zaman'!$F$9:$AR$9,0))-SUM(F31:K31),MAX(0,'Vergi'!L11-SUM(L13:L30))),0)</f>
        <v/>
      </c>
      <c r="M31" s="18">
        <f>IF(AND('Zaman'!M9&gt;19,'Zaman'!M9-19&lt;=5),MIN(INDEX('Vergi'!$F$10:$AR$10,MATCH(19,'Zaman'!$F$9:$AR$9,0))-SUM(F31:L31),MAX(0,'Vergi'!M11-SUM(M13:M30))),0)</f>
        <v/>
      </c>
      <c r="N31" s="18">
        <f>IF(AND('Zaman'!N9&gt;19,'Zaman'!N9-19&lt;=5),MIN(INDEX('Vergi'!$F$10:$AR$10,MATCH(19,'Zaman'!$F$9:$AR$9,0))-SUM(F31:M31),MAX(0,'Vergi'!N11-SUM(N13:N30))),0)</f>
        <v/>
      </c>
      <c r="O31" s="18">
        <f>IF(AND('Zaman'!O9&gt;19,'Zaman'!O9-19&lt;=5),MIN(INDEX('Vergi'!$F$10:$AR$10,MATCH(19,'Zaman'!$F$9:$AR$9,0))-SUM(F31:N31),MAX(0,'Vergi'!O11-SUM(O13:O30))),0)</f>
        <v/>
      </c>
      <c r="P31" s="18">
        <f>IF(AND('Zaman'!P9&gt;19,'Zaman'!P9-19&lt;=5),MIN(INDEX('Vergi'!$F$10:$AR$10,MATCH(19,'Zaman'!$F$9:$AR$9,0))-SUM(F31:O31),MAX(0,'Vergi'!P11-SUM(P13:P30))),0)</f>
        <v/>
      </c>
      <c r="Q31" s="18">
        <f>IF(AND('Zaman'!Q9&gt;19,'Zaman'!Q9-19&lt;=5),MIN(INDEX('Vergi'!$F$10:$AR$10,MATCH(19,'Zaman'!$F$9:$AR$9,0))-SUM(F31:P31),MAX(0,'Vergi'!Q11-SUM(Q13:Q30))),0)</f>
        <v/>
      </c>
      <c r="R31" s="18">
        <f>IF(AND('Zaman'!R9&gt;19,'Zaman'!R9-19&lt;=5),MIN(INDEX('Vergi'!$F$10:$AR$10,MATCH(19,'Zaman'!$F$9:$AR$9,0))-SUM(F31:Q31),MAX(0,'Vergi'!R11-SUM(R13:R30))),0)</f>
        <v/>
      </c>
      <c r="S31" s="18">
        <f>IF(AND('Zaman'!S9&gt;19,'Zaman'!S9-19&lt;=5),MIN(INDEX('Vergi'!$F$10:$AR$10,MATCH(19,'Zaman'!$F$9:$AR$9,0))-SUM(F31:R31),MAX(0,'Vergi'!S11-SUM(S13:S30))),0)</f>
        <v/>
      </c>
      <c r="T31" s="18">
        <f>IF(AND('Zaman'!T9&gt;19,'Zaman'!T9-19&lt;=5),MIN(INDEX('Vergi'!$F$10:$AR$10,MATCH(19,'Zaman'!$F$9:$AR$9,0))-SUM(F31:S31),MAX(0,'Vergi'!T11-SUM(T13:T30))),0)</f>
        <v/>
      </c>
      <c r="U31" s="18">
        <f>IF(AND('Zaman'!U9&gt;19,'Zaman'!U9-19&lt;=5),MIN(INDEX('Vergi'!$F$10:$AR$10,MATCH(19,'Zaman'!$F$9:$AR$9,0))-SUM(F31:T31),MAX(0,'Vergi'!U11-SUM(U13:U30))),0)</f>
        <v/>
      </c>
      <c r="V31" s="18">
        <f>IF(AND('Zaman'!V9&gt;19,'Zaman'!V9-19&lt;=5),MIN(INDEX('Vergi'!$F$10:$AR$10,MATCH(19,'Zaman'!$F$9:$AR$9,0))-SUM(F31:U31),MAX(0,'Vergi'!V11-SUM(V13:V30))),0)</f>
        <v/>
      </c>
      <c r="W31" s="18">
        <f>IF(AND('Zaman'!W9&gt;19,'Zaman'!W9-19&lt;=5),MIN(INDEX('Vergi'!$F$10:$AR$10,MATCH(19,'Zaman'!$F$9:$AR$9,0))-SUM(F31:V31),MAX(0,'Vergi'!W11-SUM(W13:W30))),0)</f>
        <v/>
      </c>
      <c r="X31" s="18">
        <f>IF(AND('Zaman'!X9&gt;19,'Zaman'!X9-19&lt;=5),MIN(INDEX('Vergi'!$F$10:$AR$10,MATCH(19,'Zaman'!$F$9:$AR$9,0))-SUM(F31:W31),MAX(0,'Vergi'!X11-SUM(X13:X30))),0)</f>
        <v/>
      </c>
      <c r="Y31" s="18">
        <f>IF(AND('Zaman'!Y9&gt;19,'Zaman'!Y9-19&lt;=5),MIN(INDEX('Vergi'!$F$10:$AR$10,MATCH(19,'Zaman'!$F$9:$AR$9,0))-SUM(F31:X31),MAX(0,'Vergi'!Y11-SUM(Y13:Y30))),0)</f>
        <v/>
      </c>
      <c r="Z31" s="18">
        <f>IF(AND('Zaman'!Z9&gt;19,'Zaman'!Z9-19&lt;=5),MIN(INDEX('Vergi'!$F$10:$AR$10,MATCH(19,'Zaman'!$F$9:$AR$9,0))-SUM(F31:Y31),MAX(0,'Vergi'!Z11-SUM(Z13:Z30))),0)</f>
        <v/>
      </c>
      <c r="AA31" s="18">
        <f>IF(AND('Zaman'!AA9&gt;19,'Zaman'!AA9-19&lt;=5),MIN(INDEX('Vergi'!$F$10:$AR$10,MATCH(19,'Zaman'!$F$9:$AR$9,0))-SUM(F31:Z31),MAX(0,'Vergi'!AA11-SUM(AA13:AA30))),0)</f>
        <v/>
      </c>
      <c r="AB31" s="18">
        <f>IF(AND('Zaman'!AB9&gt;19,'Zaman'!AB9-19&lt;=5),MIN(INDEX('Vergi'!$F$10:$AR$10,MATCH(19,'Zaman'!$F$9:$AR$9,0))-SUM(F31:AA31),MAX(0,'Vergi'!AB11-SUM(AB13:AB30))),0)</f>
        <v/>
      </c>
      <c r="AC31" s="18">
        <f>IF(AND('Zaman'!AC9&gt;19,'Zaman'!AC9-19&lt;=5),MIN(INDEX('Vergi'!$F$10:$AR$10,MATCH(19,'Zaman'!$F$9:$AR$9,0))-SUM(F31:AB31),MAX(0,'Vergi'!AC11-SUM(AC13:AC30))),0)</f>
        <v/>
      </c>
      <c r="AD31" s="18">
        <f>IF(AND('Zaman'!AD9&gt;19,'Zaman'!AD9-19&lt;=5),MIN(INDEX('Vergi'!$F$10:$AR$10,MATCH(19,'Zaman'!$F$9:$AR$9,0))-SUM(F31:AC31),MAX(0,'Vergi'!AD11-SUM(AD13:AD30))),0)</f>
        <v/>
      </c>
      <c r="AE31" s="18">
        <f>IF(AND('Zaman'!AE9&gt;19,'Zaman'!AE9-19&lt;=5),MIN(INDEX('Vergi'!$F$10:$AR$10,MATCH(19,'Zaman'!$F$9:$AR$9,0))-SUM(F31:AD31),MAX(0,'Vergi'!AE11-SUM(AE13:AE30))),0)</f>
        <v/>
      </c>
      <c r="AF31" s="18">
        <f>IF(AND('Zaman'!AF9&gt;19,'Zaman'!AF9-19&lt;=5),MIN(INDEX('Vergi'!$F$10:$AR$10,MATCH(19,'Zaman'!$F$9:$AR$9,0))-SUM(F31:AE31),MAX(0,'Vergi'!AF11-SUM(AF13:AF30))),0)</f>
        <v/>
      </c>
      <c r="AG31" s="18">
        <f>IF(AND('Zaman'!AG9&gt;19,'Zaman'!AG9-19&lt;=5),MIN(INDEX('Vergi'!$F$10:$AR$10,MATCH(19,'Zaman'!$F$9:$AR$9,0))-SUM(F31:AF31),MAX(0,'Vergi'!AG11-SUM(AG13:AG30))),0)</f>
        <v/>
      </c>
      <c r="AH31" s="18">
        <f>IF(AND('Zaman'!AH9&gt;19,'Zaman'!AH9-19&lt;=5),MIN(INDEX('Vergi'!$F$10:$AR$10,MATCH(19,'Zaman'!$F$9:$AR$9,0))-SUM(F31:AG31),MAX(0,'Vergi'!AH11-SUM(AH13:AH30))),0)</f>
        <v/>
      </c>
      <c r="AI31" s="18">
        <f>IF(AND('Zaman'!AI9&gt;19,'Zaman'!AI9-19&lt;=5),MIN(INDEX('Vergi'!$F$10:$AR$10,MATCH(19,'Zaman'!$F$9:$AR$9,0))-SUM(F31:AH31),MAX(0,'Vergi'!AI11-SUM(AI13:AI30))),0)</f>
        <v/>
      </c>
      <c r="AJ31" s="18">
        <f>IF(AND('Zaman'!AJ9&gt;19,'Zaman'!AJ9-19&lt;=5),MIN(INDEX('Vergi'!$F$10:$AR$10,MATCH(19,'Zaman'!$F$9:$AR$9,0))-SUM(F31:AI31),MAX(0,'Vergi'!AJ11-SUM(AJ13:AJ30))),0)</f>
        <v/>
      </c>
      <c r="AK31" s="18">
        <f>IF(AND('Zaman'!AK9&gt;19,'Zaman'!AK9-19&lt;=5),MIN(INDEX('Vergi'!$F$10:$AR$10,MATCH(19,'Zaman'!$F$9:$AR$9,0))-SUM(F31:AJ31),MAX(0,'Vergi'!AK11-SUM(AK13:AK30))),0)</f>
        <v/>
      </c>
      <c r="AL31" s="18">
        <f>IF(AND('Zaman'!AL9&gt;19,'Zaman'!AL9-19&lt;=5),MIN(INDEX('Vergi'!$F$10:$AR$10,MATCH(19,'Zaman'!$F$9:$AR$9,0))-SUM(F31:AK31),MAX(0,'Vergi'!AL11-SUM(AL13:AL30))),0)</f>
        <v/>
      </c>
      <c r="AM31" s="18">
        <f>IF(AND('Zaman'!AM9&gt;19,'Zaman'!AM9-19&lt;=5),MIN(INDEX('Vergi'!$F$10:$AR$10,MATCH(19,'Zaman'!$F$9:$AR$9,0))-SUM(F31:AL31),MAX(0,'Vergi'!AM11-SUM(AM13:AM30))),0)</f>
        <v/>
      </c>
      <c r="AN31" s="18">
        <f>IF(AND('Zaman'!AN9&gt;19,'Zaman'!AN9-19&lt;=5),MIN(INDEX('Vergi'!$F$10:$AR$10,MATCH(19,'Zaman'!$F$9:$AR$9,0))-SUM(F31:AM31),MAX(0,'Vergi'!AN11-SUM(AN13:AN30))),0)</f>
        <v/>
      </c>
      <c r="AO31" s="18">
        <f>IF(AND('Zaman'!AO9&gt;19,'Zaman'!AO9-19&lt;=5),MIN(INDEX('Vergi'!$F$10:$AR$10,MATCH(19,'Zaman'!$F$9:$AR$9,0))-SUM(F31:AN31),MAX(0,'Vergi'!AO11-SUM(AO13:AO30))),0)</f>
        <v/>
      </c>
      <c r="AP31" s="18">
        <f>IF(AND('Zaman'!AP9&gt;19,'Zaman'!AP9-19&lt;=5),MIN(INDEX('Vergi'!$F$10:$AR$10,MATCH(19,'Zaman'!$F$9:$AR$9,0))-SUM(F31:AO31),MAX(0,'Vergi'!AP11-SUM(AP13:AP30))),0)</f>
        <v/>
      </c>
      <c r="AQ31" s="18">
        <f>IF(AND('Zaman'!AQ9&gt;19,'Zaman'!AQ9-19&lt;=5),MIN(INDEX('Vergi'!$F$10:$AR$10,MATCH(19,'Zaman'!$F$9:$AR$9,0))-SUM(F31:AP31),MAX(0,'Vergi'!AQ11-SUM(AQ13:AQ30))),0)</f>
        <v/>
      </c>
      <c r="AR31" s="18">
        <f>IF(AND('Zaman'!AR9&gt;19,'Zaman'!AR9-19&lt;=5),MIN(INDEX('Vergi'!$F$10:$AR$10,MATCH(19,'Zaman'!$F$9:$AR$9,0))-SUM(F31:AQ31),MAX(0,'Vergi'!AR11-SUM(AR13:AR30))),0)</f>
        <v/>
      </c>
    </row>
    <row r="32">
      <c r="A32" t="inlineStr">
        <is>
          <t>Zarar yılı 20 — kullanım</t>
        </is>
      </c>
      <c r="B32" t="inlineStr">
        <is>
          <t>USD</t>
        </is>
      </c>
      <c r="F32" s="18">
        <f>IF(AND('Zaman'!F9&gt;20,'Zaman'!F9-20&lt;=5),MIN(INDEX('Vergi'!$F$10:$AR$10,MATCH(20,'Zaman'!$F$9:$AR$9,0))-0,MAX(0,'Vergi'!F11-SUM(F13:F31))),0)</f>
        <v/>
      </c>
      <c r="G32" s="18">
        <f>IF(AND('Zaman'!G9&gt;20,'Zaman'!G9-20&lt;=5),MIN(INDEX('Vergi'!$F$10:$AR$10,MATCH(20,'Zaman'!$F$9:$AR$9,0))-SUM(F32:F32),MAX(0,'Vergi'!G11-SUM(G13:G31))),0)</f>
        <v/>
      </c>
      <c r="H32" s="18">
        <f>IF(AND('Zaman'!H9&gt;20,'Zaman'!H9-20&lt;=5),MIN(INDEX('Vergi'!$F$10:$AR$10,MATCH(20,'Zaman'!$F$9:$AR$9,0))-SUM(F32:G32),MAX(0,'Vergi'!H11-SUM(H13:H31))),0)</f>
        <v/>
      </c>
      <c r="I32" s="18">
        <f>IF(AND('Zaman'!I9&gt;20,'Zaman'!I9-20&lt;=5),MIN(INDEX('Vergi'!$F$10:$AR$10,MATCH(20,'Zaman'!$F$9:$AR$9,0))-SUM(F32:H32),MAX(0,'Vergi'!I11-SUM(I13:I31))),0)</f>
        <v/>
      </c>
      <c r="J32" s="18">
        <f>IF(AND('Zaman'!J9&gt;20,'Zaman'!J9-20&lt;=5),MIN(INDEX('Vergi'!$F$10:$AR$10,MATCH(20,'Zaman'!$F$9:$AR$9,0))-SUM(F32:I32),MAX(0,'Vergi'!J11-SUM(J13:J31))),0)</f>
        <v/>
      </c>
      <c r="K32" s="18">
        <f>IF(AND('Zaman'!K9&gt;20,'Zaman'!K9-20&lt;=5),MIN(INDEX('Vergi'!$F$10:$AR$10,MATCH(20,'Zaman'!$F$9:$AR$9,0))-SUM(F32:J32),MAX(0,'Vergi'!K11-SUM(K13:K31))),0)</f>
        <v/>
      </c>
      <c r="L32" s="18">
        <f>IF(AND('Zaman'!L9&gt;20,'Zaman'!L9-20&lt;=5),MIN(INDEX('Vergi'!$F$10:$AR$10,MATCH(20,'Zaman'!$F$9:$AR$9,0))-SUM(F32:K32),MAX(0,'Vergi'!L11-SUM(L13:L31))),0)</f>
        <v/>
      </c>
      <c r="M32" s="18">
        <f>IF(AND('Zaman'!M9&gt;20,'Zaman'!M9-20&lt;=5),MIN(INDEX('Vergi'!$F$10:$AR$10,MATCH(20,'Zaman'!$F$9:$AR$9,0))-SUM(F32:L32),MAX(0,'Vergi'!M11-SUM(M13:M31))),0)</f>
        <v/>
      </c>
      <c r="N32" s="18">
        <f>IF(AND('Zaman'!N9&gt;20,'Zaman'!N9-20&lt;=5),MIN(INDEX('Vergi'!$F$10:$AR$10,MATCH(20,'Zaman'!$F$9:$AR$9,0))-SUM(F32:M32),MAX(0,'Vergi'!N11-SUM(N13:N31))),0)</f>
        <v/>
      </c>
      <c r="O32" s="18">
        <f>IF(AND('Zaman'!O9&gt;20,'Zaman'!O9-20&lt;=5),MIN(INDEX('Vergi'!$F$10:$AR$10,MATCH(20,'Zaman'!$F$9:$AR$9,0))-SUM(F32:N32),MAX(0,'Vergi'!O11-SUM(O13:O31))),0)</f>
        <v/>
      </c>
      <c r="P32" s="18">
        <f>IF(AND('Zaman'!P9&gt;20,'Zaman'!P9-20&lt;=5),MIN(INDEX('Vergi'!$F$10:$AR$10,MATCH(20,'Zaman'!$F$9:$AR$9,0))-SUM(F32:O32),MAX(0,'Vergi'!P11-SUM(P13:P31))),0)</f>
        <v/>
      </c>
      <c r="Q32" s="18">
        <f>IF(AND('Zaman'!Q9&gt;20,'Zaman'!Q9-20&lt;=5),MIN(INDEX('Vergi'!$F$10:$AR$10,MATCH(20,'Zaman'!$F$9:$AR$9,0))-SUM(F32:P32),MAX(0,'Vergi'!Q11-SUM(Q13:Q31))),0)</f>
        <v/>
      </c>
      <c r="R32" s="18">
        <f>IF(AND('Zaman'!R9&gt;20,'Zaman'!R9-20&lt;=5),MIN(INDEX('Vergi'!$F$10:$AR$10,MATCH(20,'Zaman'!$F$9:$AR$9,0))-SUM(F32:Q32),MAX(0,'Vergi'!R11-SUM(R13:R31))),0)</f>
        <v/>
      </c>
      <c r="S32" s="18">
        <f>IF(AND('Zaman'!S9&gt;20,'Zaman'!S9-20&lt;=5),MIN(INDEX('Vergi'!$F$10:$AR$10,MATCH(20,'Zaman'!$F$9:$AR$9,0))-SUM(F32:R32),MAX(0,'Vergi'!S11-SUM(S13:S31))),0)</f>
        <v/>
      </c>
      <c r="T32" s="18">
        <f>IF(AND('Zaman'!T9&gt;20,'Zaman'!T9-20&lt;=5),MIN(INDEX('Vergi'!$F$10:$AR$10,MATCH(20,'Zaman'!$F$9:$AR$9,0))-SUM(F32:S32),MAX(0,'Vergi'!T11-SUM(T13:T31))),0)</f>
        <v/>
      </c>
      <c r="U32" s="18">
        <f>IF(AND('Zaman'!U9&gt;20,'Zaman'!U9-20&lt;=5),MIN(INDEX('Vergi'!$F$10:$AR$10,MATCH(20,'Zaman'!$F$9:$AR$9,0))-SUM(F32:T32),MAX(0,'Vergi'!U11-SUM(U13:U31))),0)</f>
        <v/>
      </c>
      <c r="V32" s="18">
        <f>IF(AND('Zaman'!V9&gt;20,'Zaman'!V9-20&lt;=5),MIN(INDEX('Vergi'!$F$10:$AR$10,MATCH(20,'Zaman'!$F$9:$AR$9,0))-SUM(F32:U32),MAX(0,'Vergi'!V11-SUM(V13:V31))),0)</f>
        <v/>
      </c>
      <c r="W32" s="18">
        <f>IF(AND('Zaman'!W9&gt;20,'Zaman'!W9-20&lt;=5),MIN(INDEX('Vergi'!$F$10:$AR$10,MATCH(20,'Zaman'!$F$9:$AR$9,0))-SUM(F32:V32),MAX(0,'Vergi'!W11-SUM(W13:W31))),0)</f>
        <v/>
      </c>
      <c r="X32" s="18">
        <f>IF(AND('Zaman'!X9&gt;20,'Zaman'!X9-20&lt;=5),MIN(INDEX('Vergi'!$F$10:$AR$10,MATCH(20,'Zaman'!$F$9:$AR$9,0))-SUM(F32:W32),MAX(0,'Vergi'!X11-SUM(X13:X31))),0)</f>
        <v/>
      </c>
      <c r="Y32" s="18">
        <f>IF(AND('Zaman'!Y9&gt;20,'Zaman'!Y9-20&lt;=5),MIN(INDEX('Vergi'!$F$10:$AR$10,MATCH(20,'Zaman'!$F$9:$AR$9,0))-SUM(F32:X32),MAX(0,'Vergi'!Y11-SUM(Y13:Y31))),0)</f>
        <v/>
      </c>
      <c r="Z32" s="18">
        <f>IF(AND('Zaman'!Z9&gt;20,'Zaman'!Z9-20&lt;=5),MIN(INDEX('Vergi'!$F$10:$AR$10,MATCH(20,'Zaman'!$F$9:$AR$9,0))-SUM(F32:Y32),MAX(0,'Vergi'!Z11-SUM(Z13:Z31))),0)</f>
        <v/>
      </c>
      <c r="AA32" s="18">
        <f>IF(AND('Zaman'!AA9&gt;20,'Zaman'!AA9-20&lt;=5),MIN(INDEX('Vergi'!$F$10:$AR$10,MATCH(20,'Zaman'!$F$9:$AR$9,0))-SUM(F32:Z32),MAX(0,'Vergi'!AA11-SUM(AA13:AA31))),0)</f>
        <v/>
      </c>
      <c r="AB32" s="18">
        <f>IF(AND('Zaman'!AB9&gt;20,'Zaman'!AB9-20&lt;=5),MIN(INDEX('Vergi'!$F$10:$AR$10,MATCH(20,'Zaman'!$F$9:$AR$9,0))-SUM(F32:AA32),MAX(0,'Vergi'!AB11-SUM(AB13:AB31))),0)</f>
        <v/>
      </c>
      <c r="AC32" s="18">
        <f>IF(AND('Zaman'!AC9&gt;20,'Zaman'!AC9-20&lt;=5),MIN(INDEX('Vergi'!$F$10:$AR$10,MATCH(20,'Zaman'!$F$9:$AR$9,0))-SUM(F32:AB32),MAX(0,'Vergi'!AC11-SUM(AC13:AC31))),0)</f>
        <v/>
      </c>
      <c r="AD32" s="18">
        <f>IF(AND('Zaman'!AD9&gt;20,'Zaman'!AD9-20&lt;=5),MIN(INDEX('Vergi'!$F$10:$AR$10,MATCH(20,'Zaman'!$F$9:$AR$9,0))-SUM(F32:AC32),MAX(0,'Vergi'!AD11-SUM(AD13:AD31))),0)</f>
        <v/>
      </c>
      <c r="AE32" s="18">
        <f>IF(AND('Zaman'!AE9&gt;20,'Zaman'!AE9-20&lt;=5),MIN(INDEX('Vergi'!$F$10:$AR$10,MATCH(20,'Zaman'!$F$9:$AR$9,0))-SUM(F32:AD32),MAX(0,'Vergi'!AE11-SUM(AE13:AE31))),0)</f>
        <v/>
      </c>
      <c r="AF32" s="18">
        <f>IF(AND('Zaman'!AF9&gt;20,'Zaman'!AF9-20&lt;=5),MIN(INDEX('Vergi'!$F$10:$AR$10,MATCH(20,'Zaman'!$F$9:$AR$9,0))-SUM(F32:AE32),MAX(0,'Vergi'!AF11-SUM(AF13:AF31))),0)</f>
        <v/>
      </c>
      <c r="AG32" s="18">
        <f>IF(AND('Zaman'!AG9&gt;20,'Zaman'!AG9-20&lt;=5),MIN(INDEX('Vergi'!$F$10:$AR$10,MATCH(20,'Zaman'!$F$9:$AR$9,0))-SUM(F32:AF32),MAX(0,'Vergi'!AG11-SUM(AG13:AG31))),0)</f>
        <v/>
      </c>
      <c r="AH32" s="18">
        <f>IF(AND('Zaman'!AH9&gt;20,'Zaman'!AH9-20&lt;=5),MIN(INDEX('Vergi'!$F$10:$AR$10,MATCH(20,'Zaman'!$F$9:$AR$9,0))-SUM(F32:AG32),MAX(0,'Vergi'!AH11-SUM(AH13:AH31))),0)</f>
        <v/>
      </c>
      <c r="AI32" s="18">
        <f>IF(AND('Zaman'!AI9&gt;20,'Zaman'!AI9-20&lt;=5),MIN(INDEX('Vergi'!$F$10:$AR$10,MATCH(20,'Zaman'!$F$9:$AR$9,0))-SUM(F32:AH32),MAX(0,'Vergi'!AI11-SUM(AI13:AI31))),0)</f>
        <v/>
      </c>
      <c r="AJ32" s="18">
        <f>IF(AND('Zaman'!AJ9&gt;20,'Zaman'!AJ9-20&lt;=5),MIN(INDEX('Vergi'!$F$10:$AR$10,MATCH(20,'Zaman'!$F$9:$AR$9,0))-SUM(F32:AI32),MAX(0,'Vergi'!AJ11-SUM(AJ13:AJ31))),0)</f>
        <v/>
      </c>
      <c r="AK32" s="18">
        <f>IF(AND('Zaman'!AK9&gt;20,'Zaman'!AK9-20&lt;=5),MIN(INDEX('Vergi'!$F$10:$AR$10,MATCH(20,'Zaman'!$F$9:$AR$9,0))-SUM(F32:AJ32),MAX(0,'Vergi'!AK11-SUM(AK13:AK31))),0)</f>
        <v/>
      </c>
      <c r="AL32" s="18">
        <f>IF(AND('Zaman'!AL9&gt;20,'Zaman'!AL9-20&lt;=5),MIN(INDEX('Vergi'!$F$10:$AR$10,MATCH(20,'Zaman'!$F$9:$AR$9,0))-SUM(F32:AK32),MAX(0,'Vergi'!AL11-SUM(AL13:AL31))),0)</f>
        <v/>
      </c>
      <c r="AM32" s="18">
        <f>IF(AND('Zaman'!AM9&gt;20,'Zaman'!AM9-20&lt;=5),MIN(INDEX('Vergi'!$F$10:$AR$10,MATCH(20,'Zaman'!$F$9:$AR$9,0))-SUM(F32:AL32),MAX(0,'Vergi'!AM11-SUM(AM13:AM31))),0)</f>
        <v/>
      </c>
      <c r="AN32" s="18">
        <f>IF(AND('Zaman'!AN9&gt;20,'Zaman'!AN9-20&lt;=5),MIN(INDEX('Vergi'!$F$10:$AR$10,MATCH(20,'Zaman'!$F$9:$AR$9,0))-SUM(F32:AM32),MAX(0,'Vergi'!AN11-SUM(AN13:AN31))),0)</f>
        <v/>
      </c>
      <c r="AO32" s="18">
        <f>IF(AND('Zaman'!AO9&gt;20,'Zaman'!AO9-20&lt;=5),MIN(INDEX('Vergi'!$F$10:$AR$10,MATCH(20,'Zaman'!$F$9:$AR$9,0))-SUM(F32:AN32),MAX(0,'Vergi'!AO11-SUM(AO13:AO31))),0)</f>
        <v/>
      </c>
      <c r="AP32" s="18">
        <f>IF(AND('Zaman'!AP9&gt;20,'Zaman'!AP9-20&lt;=5),MIN(INDEX('Vergi'!$F$10:$AR$10,MATCH(20,'Zaman'!$F$9:$AR$9,0))-SUM(F32:AO32),MAX(0,'Vergi'!AP11-SUM(AP13:AP31))),0)</f>
        <v/>
      </c>
      <c r="AQ32" s="18">
        <f>IF(AND('Zaman'!AQ9&gt;20,'Zaman'!AQ9-20&lt;=5),MIN(INDEX('Vergi'!$F$10:$AR$10,MATCH(20,'Zaman'!$F$9:$AR$9,0))-SUM(F32:AP32),MAX(0,'Vergi'!AQ11-SUM(AQ13:AQ31))),0)</f>
        <v/>
      </c>
      <c r="AR32" s="18">
        <f>IF(AND('Zaman'!AR9&gt;20,'Zaman'!AR9-20&lt;=5),MIN(INDEX('Vergi'!$F$10:$AR$10,MATCH(20,'Zaman'!$F$9:$AR$9,0))-SUM(F32:AQ32),MAX(0,'Vergi'!AR11-SUM(AR13:AR31))),0)</f>
        <v/>
      </c>
    </row>
    <row r="33">
      <c r="A33" t="inlineStr">
        <is>
          <t>Zarar yılı 21 — kullanım</t>
        </is>
      </c>
      <c r="B33" t="inlineStr">
        <is>
          <t>USD</t>
        </is>
      </c>
      <c r="F33" s="18">
        <f>IF(AND('Zaman'!F9&gt;21,'Zaman'!F9-21&lt;=5),MIN(INDEX('Vergi'!$F$10:$AR$10,MATCH(21,'Zaman'!$F$9:$AR$9,0))-0,MAX(0,'Vergi'!F11-SUM(F13:F32))),0)</f>
        <v/>
      </c>
      <c r="G33" s="18">
        <f>IF(AND('Zaman'!G9&gt;21,'Zaman'!G9-21&lt;=5),MIN(INDEX('Vergi'!$F$10:$AR$10,MATCH(21,'Zaman'!$F$9:$AR$9,0))-SUM(F33:F33),MAX(0,'Vergi'!G11-SUM(G13:G32))),0)</f>
        <v/>
      </c>
      <c r="H33" s="18">
        <f>IF(AND('Zaman'!H9&gt;21,'Zaman'!H9-21&lt;=5),MIN(INDEX('Vergi'!$F$10:$AR$10,MATCH(21,'Zaman'!$F$9:$AR$9,0))-SUM(F33:G33),MAX(0,'Vergi'!H11-SUM(H13:H32))),0)</f>
        <v/>
      </c>
      <c r="I33" s="18">
        <f>IF(AND('Zaman'!I9&gt;21,'Zaman'!I9-21&lt;=5),MIN(INDEX('Vergi'!$F$10:$AR$10,MATCH(21,'Zaman'!$F$9:$AR$9,0))-SUM(F33:H33),MAX(0,'Vergi'!I11-SUM(I13:I32))),0)</f>
        <v/>
      </c>
      <c r="J33" s="18">
        <f>IF(AND('Zaman'!J9&gt;21,'Zaman'!J9-21&lt;=5),MIN(INDEX('Vergi'!$F$10:$AR$10,MATCH(21,'Zaman'!$F$9:$AR$9,0))-SUM(F33:I33),MAX(0,'Vergi'!J11-SUM(J13:J32))),0)</f>
        <v/>
      </c>
      <c r="K33" s="18">
        <f>IF(AND('Zaman'!K9&gt;21,'Zaman'!K9-21&lt;=5),MIN(INDEX('Vergi'!$F$10:$AR$10,MATCH(21,'Zaman'!$F$9:$AR$9,0))-SUM(F33:J33),MAX(0,'Vergi'!K11-SUM(K13:K32))),0)</f>
        <v/>
      </c>
      <c r="L33" s="18">
        <f>IF(AND('Zaman'!L9&gt;21,'Zaman'!L9-21&lt;=5),MIN(INDEX('Vergi'!$F$10:$AR$10,MATCH(21,'Zaman'!$F$9:$AR$9,0))-SUM(F33:K33),MAX(0,'Vergi'!L11-SUM(L13:L32))),0)</f>
        <v/>
      </c>
      <c r="M33" s="18">
        <f>IF(AND('Zaman'!M9&gt;21,'Zaman'!M9-21&lt;=5),MIN(INDEX('Vergi'!$F$10:$AR$10,MATCH(21,'Zaman'!$F$9:$AR$9,0))-SUM(F33:L33),MAX(0,'Vergi'!M11-SUM(M13:M32))),0)</f>
        <v/>
      </c>
      <c r="N33" s="18">
        <f>IF(AND('Zaman'!N9&gt;21,'Zaman'!N9-21&lt;=5),MIN(INDEX('Vergi'!$F$10:$AR$10,MATCH(21,'Zaman'!$F$9:$AR$9,0))-SUM(F33:M33),MAX(0,'Vergi'!N11-SUM(N13:N32))),0)</f>
        <v/>
      </c>
      <c r="O33" s="18">
        <f>IF(AND('Zaman'!O9&gt;21,'Zaman'!O9-21&lt;=5),MIN(INDEX('Vergi'!$F$10:$AR$10,MATCH(21,'Zaman'!$F$9:$AR$9,0))-SUM(F33:N33),MAX(0,'Vergi'!O11-SUM(O13:O32))),0)</f>
        <v/>
      </c>
      <c r="P33" s="18">
        <f>IF(AND('Zaman'!P9&gt;21,'Zaman'!P9-21&lt;=5),MIN(INDEX('Vergi'!$F$10:$AR$10,MATCH(21,'Zaman'!$F$9:$AR$9,0))-SUM(F33:O33),MAX(0,'Vergi'!P11-SUM(P13:P32))),0)</f>
        <v/>
      </c>
      <c r="Q33" s="18">
        <f>IF(AND('Zaman'!Q9&gt;21,'Zaman'!Q9-21&lt;=5),MIN(INDEX('Vergi'!$F$10:$AR$10,MATCH(21,'Zaman'!$F$9:$AR$9,0))-SUM(F33:P33),MAX(0,'Vergi'!Q11-SUM(Q13:Q32))),0)</f>
        <v/>
      </c>
      <c r="R33" s="18">
        <f>IF(AND('Zaman'!R9&gt;21,'Zaman'!R9-21&lt;=5),MIN(INDEX('Vergi'!$F$10:$AR$10,MATCH(21,'Zaman'!$F$9:$AR$9,0))-SUM(F33:Q33),MAX(0,'Vergi'!R11-SUM(R13:R32))),0)</f>
        <v/>
      </c>
      <c r="S33" s="18">
        <f>IF(AND('Zaman'!S9&gt;21,'Zaman'!S9-21&lt;=5),MIN(INDEX('Vergi'!$F$10:$AR$10,MATCH(21,'Zaman'!$F$9:$AR$9,0))-SUM(F33:R33),MAX(0,'Vergi'!S11-SUM(S13:S32))),0)</f>
        <v/>
      </c>
      <c r="T33" s="18">
        <f>IF(AND('Zaman'!T9&gt;21,'Zaman'!T9-21&lt;=5),MIN(INDEX('Vergi'!$F$10:$AR$10,MATCH(21,'Zaman'!$F$9:$AR$9,0))-SUM(F33:S33),MAX(0,'Vergi'!T11-SUM(T13:T32))),0)</f>
        <v/>
      </c>
      <c r="U33" s="18">
        <f>IF(AND('Zaman'!U9&gt;21,'Zaman'!U9-21&lt;=5),MIN(INDEX('Vergi'!$F$10:$AR$10,MATCH(21,'Zaman'!$F$9:$AR$9,0))-SUM(F33:T33),MAX(0,'Vergi'!U11-SUM(U13:U32))),0)</f>
        <v/>
      </c>
      <c r="V33" s="18">
        <f>IF(AND('Zaman'!V9&gt;21,'Zaman'!V9-21&lt;=5),MIN(INDEX('Vergi'!$F$10:$AR$10,MATCH(21,'Zaman'!$F$9:$AR$9,0))-SUM(F33:U33),MAX(0,'Vergi'!V11-SUM(V13:V32))),0)</f>
        <v/>
      </c>
      <c r="W33" s="18">
        <f>IF(AND('Zaman'!W9&gt;21,'Zaman'!W9-21&lt;=5),MIN(INDEX('Vergi'!$F$10:$AR$10,MATCH(21,'Zaman'!$F$9:$AR$9,0))-SUM(F33:V33),MAX(0,'Vergi'!W11-SUM(W13:W32))),0)</f>
        <v/>
      </c>
      <c r="X33" s="18">
        <f>IF(AND('Zaman'!X9&gt;21,'Zaman'!X9-21&lt;=5),MIN(INDEX('Vergi'!$F$10:$AR$10,MATCH(21,'Zaman'!$F$9:$AR$9,0))-SUM(F33:W33),MAX(0,'Vergi'!X11-SUM(X13:X32))),0)</f>
        <v/>
      </c>
      <c r="Y33" s="18">
        <f>IF(AND('Zaman'!Y9&gt;21,'Zaman'!Y9-21&lt;=5),MIN(INDEX('Vergi'!$F$10:$AR$10,MATCH(21,'Zaman'!$F$9:$AR$9,0))-SUM(F33:X33),MAX(0,'Vergi'!Y11-SUM(Y13:Y32))),0)</f>
        <v/>
      </c>
      <c r="Z33" s="18">
        <f>IF(AND('Zaman'!Z9&gt;21,'Zaman'!Z9-21&lt;=5),MIN(INDEX('Vergi'!$F$10:$AR$10,MATCH(21,'Zaman'!$F$9:$AR$9,0))-SUM(F33:Y33),MAX(0,'Vergi'!Z11-SUM(Z13:Z32))),0)</f>
        <v/>
      </c>
      <c r="AA33" s="18">
        <f>IF(AND('Zaman'!AA9&gt;21,'Zaman'!AA9-21&lt;=5),MIN(INDEX('Vergi'!$F$10:$AR$10,MATCH(21,'Zaman'!$F$9:$AR$9,0))-SUM(F33:Z33),MAX(0,'Vergi'!AA11-SUM(AA13:AA32))),0)</f>
        <v/>
      </c>
      <c r="AB33" s="18">
        <f>IF(AND('Zaman'!AB9&gt;21,'Zaman'!AB9-21&lt;=5),MIN(INDEX('Vergi'!$F$10:$AR$10,MATCH(21,'Zaman'!$F$9:$AR$9,0))-SUM(F33:AA33),MAX(0,'Vergi'!AB11-SUM(AB13:AB32))),0)</f>
        <v/>
      </c>
      <c r="AC33" s="18">
        <f>IF(AND('Zaman'!AC9&gt;21,'Zaman'!AC9-21&lt;=5),MIN(INDEX('Vergi'!$F$10:$AR$10,MATCH(21,'Zaman'!$F$9:$AR$9,0))-SUM(F33:AB33),MAX(0,'Vergi'!AC11-SUM(AC13:AC32))),0)</f>
        <v/>
      </c>
      <c r="AD33" s="18">
        <f>IF(AND('Zaman'!AD9&gt;21,'Zaman'!AD9-21&lt;=5),MIN(INDEX('Vergi'!$F$10:$AR$10,MATCH(21,'Zaman'!$F$9:$AR$9,0))-SUM(F33:AC33),MAX(0,'Vergi'!AD11-SUM(AD13:AD32))),0)</f>
        <v/>
      </c>
      <c r="AE33" s="18">
        <f>IF(AND('Zaman'!AE9&gt;21,'Zaman'!AE9-21&lt;=5),MIN(INDEX('Vergi'!$F$10:$AR$10,MATCH(21,'Zaman'!$F$9:$AR$9,0))-SUM(F33:AD33),MAX(0,'Vergi'!AE11-SUM(AE13:AE32))),0)</f>
        <v/>
      </c>
      <c r="AF33" s="18">
        <f>IF(AND('Zaman'!AF9&gt;21,'Zaman'!AF9-21&lt;=5),MIN(INDEX('Vergi'!$F$10:$AR$10,MATCH(21,'Zaman'!$F$9:$AR$9,0))-SUM(F33:AE33),MAX(0,'Vergi'!AF11-SUM(AF13:AF32))),0)</f>
        <v/>
      </c>
      <c r="AG33" s="18">
        <f>IF(AND('Zaman'!AG9&gt;21,'Zaman'!AG9-21&lt;=5),MIN(INDEX('Vergi'!$F$10:$AR$10,MATCH(21,'Zaman'!$F$9:$AR$9,0))-SUM(F33:AF33),MAX(0,'Vergi'!AG11-SUM(AG13:AG32))),0)</f>
        <v/>
      </c>
      <c r="AH33" s="18">
        <f>IF(AND('Zaman'!AH9&gt;21,'Zaman'!AH9-21&lt;=5),MIN(INDEX('Vergi'!$F$10:$AR$10,MATCH(21,'Zaman'!$F$9:$AR$9,0))-SUM(F33:AG33),MAX(0,'Vergi'!AH11-SUM(AH13:AH32))),0)</f>
        <v/>
      </c>
      <c r="AI33" s="18">
        <f>IF(AND('Zaman'!AI9&gt;21,'Zaman'!AI9-21&lt;=5),MIN(INDEX('Vergi'!$F$10:$AR$10,MATCH(21,'Zaman'!$F$9:$AR$9,0))-SUM(F33:AH33),MAX(0,'Vergi'!AI11-SUM(AI13:AI32))),0)</f>
        <v/>
      </c>
      <c r="AJ33" s="18">
        <f>IF(AND('Zaman'!AJ9&gt;21,'Zaman'!AJ9-21&lt;=5),MIN(INDEX('Vergi'!$F$10:$AR$10,MATCH(21,'Zaman'!$F$9:$AR$9,0))-SUM(F33:AI33),MAX(0,'Vergi'!AJ11-SUM(AJ13:AJ32))),0)</f>
        <v/>
      </c>
      <c r="AK33" s="18">
        <f>IF(AND('Zaman'!AK9&gt;21,'Zaman'!AK9-21&lt;=5),MIN(INDEX('Vergi'!$F$10:$AR$10,MATCH(21,'Zaman'!$F$9:$AR$9,0))-SUM(F33:AJ33),MAX(0,'Vergi'!AK11-SUM(AK13:AK32))),0)</f>
        <v/>
      </c>
      <c r="AL33" s="18">
        <f>IF(AND('Zaman'!AL9&gt;21,'Zaman'!AL9-21&lt;=5),MIN(INDEX('Vergi'!$F$10:$AR$10,MATCH(21,'Zaman'!$F$9:$AR$9,0))-SUM(F33:AK33),MAX(0,'Vergi'!AL11-SUM(AL13:AL32))),0)</f>
        <v/>
      </c>
      <c r="AM33" s="18">
        <f>IF(AND('Zaman'!AM9&gt;21,'Zaman'!AM9-21&lt;=5),MIN(INDEX('Vergi'!$F$10:$AR$10,MATCH(21,'Zaman'!$F$9:$AR$9,0))-SUM(F33:AL33),MAX(0,'Vergi'!AM11-SUM(AM13:AM32))),0)</f>
        <v/>
      </c>
      <c r="AN33" s="18">
        <f>IF(AND('Zaman'!AN9&gt;21,'Zaman'!AN9-21&lt;=5),MIN(INDEX('Vergi'!$F$10:$AR$10,MATCH(21,'Zaman'!$F$9:$AR$9,0))-SUM(F33:AM33),MAX(0,'Vergi'!AN11-SUM(AN13:AN32))),0)</f>
        <v/>
      </c>
      <c r="AO33" s="18">
        <f>IF(AND('Zaman'!AO9&gt;21,'Zaman'!AO9-21&lt;=5),MIN(INDEX('Vergi'!$F$10:$AR$10,MATCH(21,'Zaman'!$F$9:$AR$9,0))-SUM(F33:AN33),MAX(0,'Vergi'!AO11-SUM(AO13:AO32))),0)</f>
        <v/>
      </c>
      <c r="AP33" s="18">
        <f>IF(AND('Zaman'!AP9&gt;21,'Zaman'!AP9-21&lt;=5),MIN(INDEX('Vergi'!$F$10:$AR$10,MATCH(21,'Zaman'!$F$9:$AR$9,0))-SUM(F33:AO33),MAX(0,'Vergi'!AP11-SUM(AP13:AP32))),0)</f>
        <v/>
      </c>
      <c r="AQ33" s="18">
        <f>IF(AND('Zaman'!AQ9&gt;21,'Zaman'!AQ9-21&lt;=5),MIN(INDEX('Vergi'!$F$10:$AR$10,MATCH(21,'Zaman'!$F$9:$AR$9,0))-SUM(F33:AP33),MAX(0,'Vergi'!AQ11-SUM(AQ13:AQ32))),0)</f>
        <v/>
      </c>
      <c r="AR33" s="18">
        <f>IF(AND('Zaman'!AR9&gt;21,'Zaman'!AR9-21&lt;=5),MIN(INDEX('Vergi'!$F$10:$AR$10,MATCH(21,'Zaman'!$F$9:$AR$9,0))-SUM(F33:AQ33),MAX(0,'Vergi'!AR11-SUM(AR13:AR32))),0)</f>
        <v/>
      </c>
    </row>
    <row r="34">
      <c r="A34" t="inlineStr">
        <is>
          <t>Zarar yılı 22 — kullanım</t>
        </is>
      </c>
      <c r="B34" t="inlineStr">
        <is>
          <t>USD</t>
        </is>
      </c>
      <c r="F34" s="18">
        <f>IF(AND('Zaman'!F9&gt;22,'Zaman'!F9-22&lt;=5),MIN(INDEX('Vergi'!$F$10:$AR$10,MATCH(22,'Zaman'!$F$9:$AR$9,0))-0,MAX(0,'Vergi'!F11-SUM(F13:F33))),0)</f>
        <v/>
      </c>
      <c r="G34" s="18">
        <f>IF(AND('Zaman'!G9&gt;22,'Zaman'!G9-22&lt;=5),MIN(INDEX('Vergi'!$F$10:$AR$10,MATCH(22,'Zaman'!$F$9:$AR$9,0))-SUM(F34:F34),MAX(0,'Vergi'!G11-SUM(G13:G33))),0)</f>
        <v/>
      </c>
      <c r="H34" s="18">
        <f>IF(AND('Zaman'!H9&gt;22,'Zaman'!H9-22&lt;=5),MIN(INDEX('Vergi'!$F$10:$AR$10,MATCH(22,'Zaman'!$F$9:$AR$9,0))-SUM(F34:G34),MAX(0,'Vergi'!H11-SUM(H13:H33))),0)</f>
        <v/>
      </c>
      <c r="I34" s="18">
        <f>IF(AND('Zaman'!I9&gt;22,'Zaman'!I9-22&lt;=5),MIN(INDEX('Vergi'!$F$10:$AR$10,MATCH(22,'Zaman'!$F$9:$AR$9,0))-SUM(F34:H34),MAX(0,'Vergi'!I11-SUM(I13:I33))),0)</f>
        <v/>
      </c>
      <c r="J34" s="18">
        <f>IF(AND('Zaman'!J9&gt;22,'Zaman'!J9-22&lt;=5),MIN(INDEX('Vergi'!$F$10:$AR$10,MATCH(22,'Zaman'!$F$9:$AR$9,0))-SUM(F34:I34),MAX(0,'Vergi'!J11-SUM(J13:J33))),0)</f>
        <v/>
      </c>
      <c r="K34" s="18">
        <f>IF(AND('Zaman'!K9&gt;22,'Zaman'!K9-22&lt;=5),MIN(INDEX('Vergi'!$F$10:$AR$10,MATCH(22,'Zaman'!$F$9:$AR$9,0))-SUM(F34:J34),MAX(0,'Vergi'!K11-SUM(K13:K33))),0)</f>
        <v/>
      </c>
      <c r="L34" s="18">
        <f>IF(AND('Zaman'!L9&gt;22,'Zaman'!L9-22&lt;=5),MIN(INDEX('Vergi'!$F$10:$AR$10,MATCH(22,'Zaman'!$F$9:$AR$9,0))-SUM(F34:K34),MAX(0,'Vergi'!L11-SUM(L13:L33))),0)</f>
        <v/>
      </c>
      <c r="M34" s="18">
        <f>IF(AND('Zaman'!M9&gt;22,'Zaman'!M9-22&lt;=5),MIN(INDEX('Vergi'!$F$10:$AR$10,MATCH(22,'Zaman'!$F$9:$AR$9,0))-SUM(F34:L34),MAX(0,'Vergi'!M11-SUM(M13:M33))),0)</f>
        <v/>
      </c>
      <c r="N34" s="18">
        <f>IF(AND('Zaman'!N9&gt;22,'Zaman'!N9-22&lt;=5),MIN(INDEX('Vergi'!$F$10:$AR$10,MATCH(22,'Zaman'!$F$9:$AR$9,0))-SUM(F34:M34),MAX(0,'Vergi'!N11-SUM(N13:N33))),0)</f>
        <v/>
      </c>
      <c r="O34" s="18">
        <f>IF(AND('Zaman'!O9&gt;22,'Zaman'!O9-22&lt;=5),MIN(INDEX('Vergi'!$F$10:$AR$10,MATCH(22,'Zaman'!$F$9:$AR$9,0))-SUM(F34:N34),MAX(0,'Vergi'!O11-SUM(O13:O33))),0)</f>
        <v/>
      </c>
      <c r="P34" s="18">
        <f>IF(AND('Zaman'!P9&gt;22,'Zaman'!P9-22&lt;=5),MIN(INDEX('Vergi'!$F$10:$AR$10,MATCH(22,'Zaman'!$F$9:$AR$9,0))-SUM(F34:O34),MAX(0,'Vergi'!P11-SUM(P13:P33))),0)</f>
        <v/>
      </c>
      <c r="Q34" s="18">
        <f>IF(AND('Zaman'!Q9&gt;22,'Zaman'!Q9-22&lt;=5),MIN(INDEX('Vergi'!$F$10:$AR$10,MATCH(22,'Zaman'!$F$9:$AR$9,0))-SUM(F34:P34),MAX(0,'Vergi'!Q11-SUM(Q13:Q33))),0)</f>
        <v/>
      </c>
      <c r="R34" s="18">
        <f>IF(AND('Zaman'!R9&gt;22,'Zaman'!R9-22&lt;=5),MIN(INDEX('Vergi'!$F$10:$AR$10,MATCH(22,'Zaman'!$F$9:$AR$9,0))-SUM(F34:Q34),MAX(0,'Vergi'!R11-SUM(R13:R33))),0)</f>
        <v/>
      </c>
      <c r="S34" s="18">
        <f>IF(AND('Zaman'!S9&gt;22,'Zaman'!S9-22&lt;=5),MIN(INDEX('Vergi'!$F$10:$AR$10,MATCH(22,'Zaman'!$F$9:$AR$9,0))-SUM(F34:R34),MAX(0,'Vergi'!S11-SUM(S13:S33))),0)</f>
        <v/>
      </c>
      <c r="T34" s="18">
        <f>IF(AND('Zaman'!T9&gt;22,'Zaman'!T9-22&lt;=5),MIN(INDEX('Vergi'!$F$10:$AR$10,MATCH(22,'Zaman'!$F$9:$AR$9,0))-SUM(F34:S34),MAX(0,'Vergi'!T11-SUM(T13:T33))),0)</f>
        <v/>
      </c>
      <c r="U34" s="18">
        <f>IF(AND('Zaman'!U9&gt;22,'Zaman'!U9-22&lt;=5),MIN(INDEX('Vergi'!$F$10:$AR$10,MATCH(22,'Zaman'!$F$9:$AR$9,0))-SUM(F34:T34),MAX(0,'Vergi'!U11-SUM(U13:U33))),0)</f>
        <v/>
      </c>
      <c r="V34" s="18">
        <f>IF(AND('Zaman'!V9&gt;22,'Zaman'!V9-22&lt;=5),MIN(INDEX('Vergi'!$F$10:$AR$10,MATCH(22,'Zaman'!$F$9:$AR$9,0))-SUM(F34:U34),MAX(0,'Vergi'!V11-SUM(V13:V33))),0)</f>
        <v/>
      </c>
      <c r="W34" s="18">
        <f>IF(AND('Zaman'!W9&gt;22,'Zaman'!W9-22&lt;=5),MIN(INDEX('Vergi'!$F$10:$AR$10,MATCH(22,'Zaman'!$F$9:$AR$9,0))-SUM(F34:V34),MAX(0,'Vergi'!W11-SUM(W13:W33))),0)</f>
        <v/>
      </c>
      <c r="X34" s="18">
        <f>IF(AND('Zaman'!X9&gt;22,'Zaman'!X9-22&lt;=5),MIN(INDEX('Vergi'!$F$10:$AR$10,MATCH(22,'Zaman'!$F$9:$AR$9,0))-SUM(F34:W34),MAX(0,'Vergi'!X11-SUM(X13:X33))),0)</f>
        <v/>
      </c>
      <c r="Y34" s="18">
        <f>IF(AND('Zaman'!Y9&gt;22,'Zaman'!Y9-22&lt;=5),MIN(INDEX('Vergi'!$F$10:$AR$10,MATCH(22,'Zaman'!$F$9:$AR$9,0))-SUM(F34:X34),MAX(0,'Vergi'!Y11-SUM(Y13:Y33))),0)</f>
        <v/>
      </c>
      <c r="Z34" s="18">
        <f>IF(AND('Zaman'!Z9&gt;22,'Zaman'!Z9-22&lt;=5),MIN(INDEX('Vergi'!$F$10:$AR$10,MATCH(22,'Zaman'!$F$9:$AR$9,0))-SUM(F34:Y34),MAX(0,'Vergi'!Z11-SUM(Z13:Z33))),0)</f>
        <v/>
      </c>
      <c r="AA34" s="18">
        <f>IF(AND('Zaman'!AA9&gt;22,'Zaman'!AA9-22&lt;=5),MIN(INDEX('Vergi'!$F$10:$AR$10,MATCH(22,'Zaman'!$F$9:$AR$9,0))-SUM(F34:Z34),MAX(0,'Vergi'!AA11-SUM(AA13:AA33))),0)</f>
        <v/>
      </c>
      <c r="AB34" s="18">
        <f>IF(AND('Zaman'!AB9&gt;22,'Zaman'!AB9-22&lt;=5),MIN(INDEX('Vergi'!$F$10:$AR$10,MATCH(22,'Zaman'!$F$9:$AR$9,0))-SUM(F34:AA34),MAX(0,'Vergi'!AB11-SUM(AB13:AB33))),0)</f>
        <v/>
      </c>
      <c r="AC34" s="18">
        <f>IF(AND('Zaman'!AC9&gt;22,'Zaman'!AC9-22&lt;=5),MIN(INDEX('Vergi'!$F$10:$AR$10,MATCH(22,'Zaman'!$F$9:$AR$9,0))-SUM(F34:AB34),MAX(0,'Vergi'!AC11-SUM(AC13:AC33))),0)</f>
        <v/>
      </c>
      <c r="AD34" s="18">
        <f>IF(AND('Zaman'!AD9&gt;22,'Zaman'!AD9-22&lt;=5),MIN(INDEX('Vergi'!$F$10:$AR$10,MATCH(22,'Zaman'!$F$9:$AR$9,0))-SUM(F34:AC34),MAX(0,'Vergi'!AD11-SUM(AD13:AD33))),0)</f>
        <v/>
      </c>
      <c r="AE34" s="18">
        <f>IF(AND('Zaman'!AE9&gt;22,'Zaman'!AE9-22&lt;=5),MIN(INDEX('Vergi'!$F$10:$AR$10,MATCH(22,'Zaman'!$F$9:$AR$9,0))-SUM(F34:AD34),MAX(0,'Vergi'!AE11-SUM(AE13:AE33))),0)</f>
        <v/>
      </c>
      <c r="AF34" s="18">
        <f>IF(AND('Zaman'!AF9&gt;22,'Zaman'!AF9-22&lt;=5),MIN(INDEX('Vergi'!$F$10:$AR$10,MATCH(22,'Zaman'!$F$9:$AR$9,0))-SUM(F34:AE34),MAX(0,'Vergi'!AF11-SUM(AF13:AF33))),0)</f>
        <v/>
      </c>
      <c r="AG34" s="18">
        <f>IF(AND('Zaman'!AG9&gt;22,'Zaman'!AG9-22&lt;=5),MIN(INDEX('Vergi'!$F$10:$AR$10,MATCH(22,'Zaman'!$F$9:$AR$9,0))-SUM(F34:AF34),MAX(0,'Vergi'!AG11-SUM(AG13:AG33))),0)</f>
        <v/>
      </c>
      <c r="AH34" s="18">
        <f>IF(AND('Zaman'!AH9&gt;22,'Zaman'!AH9-22&lt;=5),MIN(INDEX('Vergi'!$F$10:$AR$10,MATCH(22,'Zaman'!$F$9:$AR$9,0))-SUM(F34:AG34),MAX(0,'Vergi'!AH11-SUM(AH13:AH33))),0)</f>
        <v/>
      </c>
      <c r="AI34" s="18">
        <f>IF(AND('Zaman'!AI9&gt;22,'Zaman'!AI9-22&lt;=5),MIN(INDEX('Vergi'!$F$10:$AR$10,MATCH(22,'Zaman'!$F$9:$AR$9,0))-SUM(F34:AH34),MAX(0,'Vergi'!AI11-SUM(AI13:AI33))),0)</f>
        <v/>
      </c>
      <c r="AJ34" s="18">
        <f>IF(AND('Zaman'!AJ9&gt;22,'Zaman'!AJ9-22&lt;=5),MIN(INDEX('Vergi'!$F$10:$AR$10,MATCH(22,'Zaman'!$F$9:$AR$9,0))-SUM(F34:AI34),MAX(0,'Vergi'!AJ11-SUM(AJ13:AJ33))),0)</f>
        <v/>
      </c>
      <c r="AK34" s="18">
        <f>IF(AND('Zaman'!AK9&gt;22,'Zaman'!AK9-22&lt;=5),MIN(INDEX('Vergi'!$F$10:$AR$10,MATCH(22,'Zaman'!$F$9:$AR$9,0))-SUM(F34:AJ34),MAX(0,'Vergi'!AK11-SUM(AK13:AK33))),0)</f>
        <v/>
      </c>
      <c r="AL34" s="18">
        <f>IF(AND('Zaman'!AL9&gt;22,'Zaman'!AL9-22&lt;=5),MIN(INDEX('Vergi'!$F$10:$AR$10,MATCH(22,'Zaman'!$F$9:$AR$9,0))-SUM(F34:AK34),MAX(0,'Vergi'!AL11-SUM(AL13:AL33))),0)</f>
        <v/>
      </c>
      <c r="AM34" s="18">
        <f>IF(AND('Zaman'!AM9&gt;22,'Zaman'!AM9-22&lt;=5),MIN(INDEX('Vergi'!$F$10:$AR$10,MATCH(22,'Zaman'!$F$9:$AR$9,0))-SUM(F34:AL34),MAX(0,'Vergi'!AM11-SUM(AM13:AM33))),0)</f>
        <v/>
      </c>
      <c r="AN34" s="18">
        <f>IF(AND('Zaman'!AN9&gt;22,'Zaman'!AN9-22&lt;=5),MIN(INDEX('Vergi'!$F$10:$AR$10,MATCH(22,'Zaman'!$F$9:$AR$9,0))-SUM(F34:AM34),MAX(0,'Vergi'!AN11-SUM(AN13:AN33))),0)</f>
        <v/>
      </c>
      <c r="AO34" s="18">
        <f>IF(AND('Zaman'!AO9&gt;22,'Zaman'!AO9-22&lt;=5),MIN(INDEX('Vergi'!$F$10:$AR$10,MATCH(22,'Zaman'!$F$9:$AR$9,0))-SUM(F34:AN34),MAX(0,'Vergi'!AO11-SUM(AO13:AO33))),0)</f>
        <v/>
      </c>
      <c r="AP34" s="18">
        <f>IF(AND('Zaman'!AP9&gt;22,'Zaman'!AP9-22&lt;=5),MIN(INDEX('Vergi'!$F$10:$AR$10,MATCH(22,'Zaman'!$F$9:$AR$9,0))-SUM(F34:AO34),MAX(0,'Vergi'!AP11-SUM(AP13:AP33))),0)</f>
        <v/>
      </c>
      <c r="AQ34" s="18">
        <f>IF(AND('Zaman'!AQ9&gt;22,'Zaman'!AQ9-22&lt;=5),MIN(INDEX('Vergi'!$F$10:$AR$10,MATCH(22,'Zaman'!$F$9:$AR$9,0))-SUM(F34:AP34),MAX(0,'Vergi'!AQ11-SUM(AQ13:AQ33))),0)</f>
        <v/>
      </c>
      <c r="AR34" s="18">
        <f>IF(AND('Zaman'!AR9&gt;22,'Zaman'!AR9-22&lt;=5),MIN(INDEX('Vergi'!$F$10:$AR$10,MATCH(22,'Zaman'!$F$9:$AR$9,0))-SUM(F34:AQ34),MAX(0,'Vergi'!AR11-SUM(AR13:AR33))),0)</f>
        <v/>
      </c>
    </row>
    <row r="35">
      <c r="A35" t="inlineStr">
        <is>
          <t>Zarar yılı 23 — kullanım</t>
        </is>
      </c>
      <c r="B35" t="inlineStr">
        <is>
          <t>USD</t>
        </is>
      </c>
      <c r="F35" s="18">
        <f>IF(AND('Zaman'!F9&gt;23,'Zaman'!F9-23&lt;=5),MIN(INDEX('Vergi'!$F$10:$AR$10,MATCH(23,'Zaman'!$F$9:$AR$9,0))-0,MAX(0,'Vergi'!F11-SUM(F13:F34))),0)</f>
        <v/>
      </c>
      <c r="G35" s="18">
        <f>IF(AND('Zaman'!G9&gt;23,'Zaman'!G9-23&lt;=5),MIN(INDEX('Vergi'!$F$10:$AR$10,MATCH(23,'Zaman'!$F$9:$AR$9,0))-SUM(F35:F35),MAX(0,'Vergi'!G11-SUM(G13:G34))),0)</f>
        <v/>
      </c>
      <c r="H35" s="18">
        <f>IF(AND('Zaman'!H9&gt;23,'Zaman'!H9-23&lt;=5),MIN(INDEX('Vergi'!$F$10:$AR$10,MATCH(23,'Zaman'!$F$9:$AR$9,0))-SUM(F35:G35),MAX(0,'Vergi'!H11-SUM(H13:H34))),0)</f>
        <v/>
      </c>
      <c r="I35" s="18">
        <f>IF(AND('Zaman'!I9&gt;23,'Zaman'!I9-23&lt;=5),MIN(INDEX('Vergi'!$F$10:$AR$10,MATCH(23,'Zaman'!$F$9:$AR$9,0))-SUM(F35:H35),MAX(0,'Vergi'!I11-SUM(I13:I34))),0)</f>
        <v/>
      </c>
      <c r="J35" s="18">
        <f>IF(AND('Zaman'!J9&gt;23,'Zaman'!J9-23&lt;=5),MIN(INDEX('Vergi'!$F$10:$AR$10,MATCH(23,'Zaman'!$F$9:$AR$9,0))-SUM(F35:I35),MAX(0,'Vergi'!J11-SUM(J13:J34))),0)</f>
        <v/>
      </c>
      <c r="K35" s="18">
        <f>IF(AND('Zaman'!K9&gt;23,'Zaman'!K9-23&lt;=5),MIN(INDEX('Vergi'!$F$10:$AR$10,MATCH(23,'Zaman'!$F$9:$AR$9,0))-SUM(F35:J35),MAX(0,'Vergi'!K11-SUM(K13:K34))),0)</f>
        <v/>
      </c>
      <c r="L35" s="18">
        <f>IF(AND('Zaman'!L9&gt;23,'Zaman'!L9-23&lt;=5),MIN(INDEX('Vergi'!$F$10:$AR$10,MATCH(23,'Zaman'!$F$9:$AR$9,0))-SUM(F35:K35),MAX(0,'Vergi'!L11-SUM(L13:L34))),0)</f>
        <v/>
      </c>
      <c r="M35" s="18">
        <f>IF(AND('Zaman'!M9&gt;23,'Zaman'!M9-23&lt;=5),MIN(INDEX('Vergi'!$F$10:$AR$10,MATCH(23,'Zaman'!$F$9:$AR$9,0))-SUM(F35:L35),MAX(0,'Vergi'!M11-SUM(M13:M34))),0)</f>
        <v/>
      </c>
      <c r="N35" s="18">
        <f>IF(AND('Zaman'!N9&gt;23,'Zaman'!N9-23&lt;=5),MIN(INDEX('Vergi'!$F$10:$AR$10,MATCH(23,'Zaman'!$F$9:$AR$9,0))-SUM(F35:M35),MAX(0,'Vergi'!N11-SUM(N13:N34))),0)</f>
        <v/>
      </c>
      <c r="O35" s="18">
        <f>IF(AND('Zaman'!O9&gt;23,'Zaman'!O9-23&lt;=5),MIN(INDEX('Vergi'!$F$10:$AR$10,MATCH(23,'Zaman'!$F$9:$AR$9,0))-SUM(F35:N35),MAX(0,'Vergi'!O11-SUM(O13:O34))),0)</f>
        <v/>
      </c>
      <c r="P35" s="18">
        <f>IF(AND('Zaman'!P9&gt;23,'Zaman'!P9-23&lt;=5),MIN(INDEX('Vergi'!$F$10:$AR$10,MATCH(23,'Zaman'!$F$9:$AR$9,0))-SUM(F35:O35),MAX(0,'Vergi'!P11-SUM(P13:P34))),0)</f>
        <v/>
      </c>
      <c r="Q35" s="18">
        <f>IF(AND('Zaman'!Q9&gt;23,'Zaman'!Q9-23&lt;=5),MIN(INDEX('Vergi'!$F$10:$AR$10,MATCH(23,'Zaman'!$F$9:$AR$9,0))-SUM(F35:P35),MAX(0,'Vergi'!Q11-SUM(Q13:Q34))),0)</f>
        <v/>
      </c>
      <c r="R35" s="18">
        <f>IF(AND('Zaman'!R9&gt;23,'Zaman'!R9-23&lt;=5),MIN(INDEX('Vergi'!$F$10:$AR$10,MATCH(23,'Zaman'!$F$9:$AR$9,0))-SUM(F35:Q35),MAX(0,'Vergi'!R11-SUM(R13:R34))),0)</f>
        <v/>
      </c>
      <c r="S35" s="18">
        <f>IF(AND('Zaman'!S9&gt;23,'Zaman'!S9-23&lt;=5),MIN(INDEX('Vergi'!$F$10:$AR$10,MATCH(23,'Zaman'!$F$9:$AR$9,0))-SUM(F35:R35),MAX(0,'Vergi'!S11-SUM(S13:S34))),0)</f>
        <v/>
      </c>
      <c r="T35" s="18">
        <f>IF(AND('Zaman'!T9&gt;23,'Zaman'!T9-23&lt;=5),MIN(INDEX('Vergi'!$F$10:$AR$10,MATCH(23,'Zaman'!$F$9:$AR$9,0))-SUM(F35:S35),MAX(0,'Vergi'!T11-SUM(T13:T34))),0)</f>
        <v/>
      </c>
      <c r="U35" s="18">
        <f>IF(AND('Zaman'!U9&gt;23,'Zaman'!U9-23&lt;=5),MIN(INDEX('Vergi'!$F$10:$AR$10,MATCH(23,'Zaman'!$F$9:$AR$9,0))-SUM(F35:T35),MAX(0,'Vergi'!U11-SUM(U13:U34))),0)</f>
        <v/>
      </c>
      <c r="V35" s="18">
        <f>IF(AND('Zaman'!V9&gt;23,'Zaman'!V9-23&lt;=5),MIN(INDEX('Vergi'!$F$10:$AR$10,MATCH(23,'Zaman'!$F$9:$AR$9,0))-SUM(F35:U35),MAX(0,'Vergi'!V11-SUM(V13:V34))),0)</f>
        <v/>
      </c>
      <c r="W35" s="18">
        <f>IF(AND('Zaman'!W9&gt;23,'Zaman'!W9-23&lt;=5),MIN(INDEX('Vergi'!$F$10:$AR$10,MATCH(23,'Zaman'!$F$9:$AR$9,0))-SUM(F35:V35),MAX(0,'Vergi'!W11-SUM(W13:W34))),0)</f>
        <v/>
      </c>
      <c r="X35" s="18">
        <f>IF(AND('Zaman'!X9&gt;23,'Zaman'!X9-23&lt;=5),MIN(INDEX('Vergi'!$F$10:$AR$10,MATCH(23,'Zaman'!$F$9:$AR$9,0))-SUM(F35:W35),MAX(0,'Vergi'!X11-SUM(X13:X34))),0)</f>
        <v/>
      </c>
      <c r="Y35" s="18">
        <f>IF(AND('Zaman'!Y9&gt;23,'Zaman'!Y9-23&lt;=5),MIN(INDEX('Vergi'!$F$10:$AR$10,MATCH(23,'Zaman'!$F$9:$AR$9,0))-SUM(F35:X35),MAX(0,'Vergi'!Y11-SUM(Y13:Y34))),0)</f>
        <v/>
      </c>
      <c r="Z35" s="18">
        <f>IF(AND('Zaman'!Z9&gt;23,'Zaman'!Z9-23&lt;=5),MIN(INDEX('Vergi'!$F$10:$AR$10,MATCH(23,'Zaman'!$F$9:$AR$9,0))-SUM(F35:Y35),MAX(0,'Vergi'!Z11-SUM(Z13:Z34))),0)</f>
        <v/>
      </c>
      <c r="AA35" s="18">
        <f>IF(AND('Zaman'!AA9&gt;23,'Zaman'!AA9-23&lt;=5),MIN(INDEX('Vergi'!$F$10:$AR$10,MATCH(23,'Zaman'!$F$9:$AR$9,0))-SUM(F35:Z35),MAX(0,'Vergi'!AA11-SUM(AA13:AA34))),0)</f>
        <v/>
      </c>
      <c r="AB35" s="18">
        <f>IF(AND('Zaman'!AB9&gt;23,'Zaman'!AB9-23&lt;=5),MIN(INDEX('Vergi'!$F$10:$AR$10,MATCH(23,'Zaman'!$F$9:$AR$9,0))-SUM(F35:AA35),MAX(0,'Vergi'!AB11-SUM(AB13:AB34))),0)</f>
        <v/>
      </c>
      <c r="AC35" s="18">
        <f>IF(AND('Zaman'!AC9&gt;23,'Zaman'!AC9-23&lt;=5),MIN(INDEX('Vergi'!$F$10:$AR$10,MATCH(23,'Zaman'!$F$9:$AR$9,0))-SUM(F35:AB35),MAX(0,'Vergi'!AC11-SUM(AC13:AC34))),0)</f>
        <v/>
      </c>
      <c r="AD35" s="18">
        <f>IF(AND('Zaman'!AD9&gt;23,'Zaman'!AD9-23&lt;=5),MIN(INDEX('Vergi'!$F$10:$AR$10,MATCH(23,'Zaman'!$F$9:$AR$9,0))-SUM(F35:AC35),MAX(0,'Vergi'!AD11-SUM(AD13:AD34))),0)</f>
        <v/>
      </c>
      <c r="AE35" s="18">
        <f>IF(AND('Zaman'!AE9&gt;23,'Zaman'!AE9-23&lt;=5),MIN(INDEX('Vergi'!$F$10:$AR$10,MATCH(23,'Zaman'!$F$9:$AR$9,0))-SUM(F35:AD35),MAX(0,'Vergi'!AE11-SUM(AE13:AE34))),0)</f>
        <v/>
      </c>
      <c r="AF35" s="18">
        <f>IF(AND('Zaman'!AF9&gt;23,'Zaman'!AF9-23&lt;=5),MIN(INDEX('Vergi'!$F$10:$AR$10,MATCH(23,'Zaman'!$F$9:$AR$9,0))-SUM(F35:AE35),MAX(0,'Vergi'!AF11-SUM(AF13:AF34))),0)</f>
        <v/>
      </c>
      <c r="AG35" s="18">
        <f>IF(AND('Zaman'!AG9&gt;23,'Zaman'!AG9-23&lt;=5),MIN(INDEX('Vergi'!$F$10:$AR$10,MATCH(23,'Zaman'!$F$9:$AR$9,0))-SUM(F35:AF35),MAX(0,'Vergi'!AG11-SUM(AG13:AG34))),0)</f>
        <v/>
      </c>
      <c r="AH35" s="18">
        <f>IF(AND('Zaman'!AH9&gt;23,'Zaman'!AH9-23&lt;=5),MIN(INDEX('Vergi'!$F$10:$AR$10,MATCH(23,'Zaman'!$F$9:$AR$9,0))-SUM(F35:AG35),MAX(0,'Vergi'!AH11-SUM(AH13:AH34))),0)</f>
        <v/>
      </c>
      <c r="AI35" s="18">
        <f>IF(AND('Zaman'!AI9&gt;23,'Zaman'!AI9-23&lt;=5),MIN(INDEX('Vergi'!$F$10:$AR$10,MATCH(23,'Zaman'!$F$9:$AR$9,0))-SUM(F35:AH35),MAX(0,'Vergi'!AI11-SUM(AI13:AI34))),0)</f>
        <v/>
      </c>
      <c r="AJ35" s="18">
        <f>IF(AND('Zaman'!AJ9&gt;23,'Zaman'!AJ9-23&lt;=5),MIN(INDEX('Vergi'!$F$10:$AR$10,MATCH(23,'Zaman'!$F$9:$AR$9,0))-SUM(F35:AI35),MAX(0,'Vergi'!AJ11-SUM(AJ13:AJ34))),0)</f>
        <v/>
      </c>
      <c r="AK35" s="18">
        <f>IF(AND('Zaman'!AK9&gt;23,'Zaman'!AK9-23&lt;=5),MIN(INDEX('Vergi'!$F$10:$AR$10,MATCH(23,'Zaman'!$F$9:$AR$9,0))-SUM(F35:AJ35),MAX(0,'Vergi'!AK11-SUM(AK13:AK34))),0)</f>
        <v/>
      </c>
      <c r="AL35" s="18">
        <f>IF(AND('Zaman'!AL9&gt;23,'Zaman'!AL9-23&lt;=5),MIN(INDEX('Vergi'!$F$10:$AR$10,MATCH(23,'Zaman'!$F$9:$AR$9,0))-SUM(F35:AK35),MAX(0,'Vergi'!AL11-SUM(AL13:AL34))),0)</f>
        <v/>
      </c>
      <c r="AM35" s="18">
        <f>IF(AND('Zaman'!AM9&gt;23,'Zaman'!AM9-23&lt;=5),MIN(INDEX('Vergi'!$F$10:$AR$10,MATCH(23,'Zaman'!$F$9:$AR$9,0))-SUM(F35:AL35),MAX(0,'Vergi'!AM11-SUM(AM13:AM34))),0)</f>
        <v/>
      </c>
      <c r="AN35" s="18">
        <f>IF(AND('Zaman'!AN9&gt;23,'Zaman'!AN9-23&lt;=5),MIN(INDEX('Vergi'!$F$10:$AR$10,MATCH(23,'Zaman'!$F$9:$AR$9,0))-SUM(F35:AM35),MAX(0,'Vergi'!AN11-SUM(AN13:AN34))),0)</f>
        <v/>
      </c>
      <c r="AO35" s="18">
        <f>IF(AND('Zaman'!AO9&gt;23,'Zaman'!AO9-23&lt;=5),MIN(INDEX('Vergi'!$F$10:$AR$10,MATCH(23,'Zaman'!$F$9:$AR$9,0))-SUM(F35:AN35),MAX(0,'Vergi'!AO11-SUM(AO13:AO34))),0)</f>
        <v/>
      </c>
      <c r="AP35" s="18">
        <f>IF(AND('Zaman'!AP9&gt;23,'Zaman'!AP9-23&lt;=5),MIN(INDEX('Vergi'!$F$10:$AR$10,MATCH(23,'Zaman'!$F$9:$AR$9,0))-SUM(F35:AO35),MAX(0,'Vergi'!AP11-SUM(AP13:AP34))),0)</f>
        <v/>
      </c>
      <c r="AQ35" s="18">
        <f>IF(AND('Zaman'!AQ9&gt;23,'Zaman'!AQ9-23&lt;=5),MIN(INDEX('Vergi'!$F$10:$AR$10,MATCH(23,'Zaman'!$F$9:$AR$9,0))-SUM(F35:AP35),MAX(0,'Vergi'!AQ11-SUM(AQ13:AQ34))),0)</f>
        <v/>
      </c>
      <c r="AR35" s="18">
        <f>IF(AND('Zaman'!AR9&gt;23,'Zaman'!AR9-23&lt;=5),MIN(INDEX('Vergi'!$F$10:$AR$10,MATCH(23,'Zaman'!$F$9:$AR$9,0))-SUM(F35:AQ35),MAX(0,'Vergi'!AR11-SUM(AR13:AR34))),0)</f>
        <v/>
      </c>
    </row>
    <row r="36">
      <c r="A36" t="inlineStr">
        <is>
          <t>Zarar yılı 24 — kullanım</t>
        </is>
      </c>
      <c r="B36" t="inlineStr">
        <is>
          <t>USD</t>
        </is>
      </c>
      <c r="F36" s="18">
        <f>IF(AND('Zaman'!F9&gt;24,'Zaman'!F9-24&lt;=5),MIN(INDEX('Vergi'!$F$10:$AR$10,MATCH(24,'Zaman'!$F$9:$AR$9,0))-0,MAX(0,'Vergi'!F11-SUM(F13:F35))),0)</f>
        <v/>
      </c>
      <c r="G36" s="18">
        <f>IF(AND('Zaman'!G9&gt;24,'Zaman'!G9-24&lt;=5),MIN(INDEX('Vergi'!$F$10:$AR$10,MATCH(24,'Zaman'!$F$9:$AR$9,0))-SUM(F36:F36),MAX(0,'Vergi'!G11-SUM(G13:G35))),0)</f>
        <v/>
      </c>
      <c r="H36" s="18">
        <f>IF(AND('Zaman'!H9&gt;24,'Zaman'!H9-24&lt;=5),MIN(INDEX('Vergi'!$F$10:$AR$10,MATCH(24,'Zaman'!$F$9:$AR$9,0))-SUM(F36:G36),MAX(0,'Vergi'!H11-SUM(H13:H35))),0)</f>
        <v/>
      </c>
      <c r="I36" s="18">
        <f>IF(AND('Zaman'!I9&gt;24,'Zaman'!I9-24&lt;=5),MIN(INDEX('Vergi'!$F$10:$AR$10,MATCH(24,'Zaman'!$F$9:$AR$9,0))-SUM(F36:H36),MAX(0,'Vergi'!I11-SUM(I13:I35))),0)</f>
        <v/>
      </c>
      <c r="J36" s="18">
        <f>IF(AND('Zaman'!J9&gt;24,'Zaman'!J9-24&lt;=5),MIN(INDEX('Vergi'!$F$10:$AR$10,MATCH(24,'Zaman'!$F$9:$AR$9,0))-SUM(F36:I36),MAX(0,'Vergi'!J11-SUM(J13:J35))),0)</f>
        <v/>
      </c>
      <c r="K36" s="18">
        <f>IF(AND('Zaman'!K9&gt;24,'Zaman'!K9-24&lt;=5),MIN(INDEX('Vergi'!$F$10:$AR$10,MATCH(24,'Zaman'!$F$9:$AR$9,0))-SUM(F36:J36),MAX(0,'Vergi'!K11-SUM(K13:K35))),0)</f>
        <v/>
      </c>
      <c r="L36" s="18">
        <f>IF(AND('Zaman'!L9&gt;24,'Zaman'!L9-24&lt;=5),MIN(INDEX('Vergi'!$F$10:$AR$10,MATCH(24,'Zaman'!$F$9:$AR$9,0))-SUM(F36:K36),MAX(0,'Vergi'!L11-SUM(L13:L35))),0)</f>
        <v/>
      </c>
      <c r="M36" s="18">
        <f>IF(AND('Zaman'!M9&gt;24,'Zaman'!M9-24&lt;=5),MIN(INDEX('Vergi'!$F$10:$AR$10,MATCH(24,'Zaman'!$F$9:$AR$9,0))-SUM(F36:L36),MAX(0,'Vergi'!M11-SUM(M13:M35))),0)</f>
        <v/>
      </c>
      <c r="N36" s="18">
        <f>IF(AND('Zaman'!N9&gt;24,'Zaman'!N9-24&lt;=5),MIN(INDEX('Vergi'!$F$10:$AR$10,MATCH(24,'Zaman'!$F$9:$AR$9,0))-SUM(F36:M36),MAX(0,'Vergi'!N11-SUM(N13:N35))),0)</f>
        <v/>
      </c>
      <c r="O36" s="18">
        <f>IF(AND('Zaman'!O9&gt;24,'Zaman'!O9-24&lt;=5),MIN(INDEX('Vergi'!$F$10:$AR$10,MATCH(24,'Zaman'!$F$9:$AR$9,0))-SUM(F36:N36),MAX(0,'Vergi'!O11-SUM(O13:O35))),0)</f>
        <v/>
      </c>
      <c r="P36" s="18">
        <f>IF(AND('Zaman'!P9&gt;24,'Zaman'!P9-24&lt;=5),MIN(INDEX('Vergi'!$F$10:$AR$10,MATCH(24,'Zaman'!$F$9:$AR$9,0))-SUM(F36:O36),MAX(0,'Vergi'!P11-SUM(P13:P35))),0)</f>
        <v/>
      </c>
      <c r="Q36" s="18">
        <f>IF(AND('Zaman'!Q9&gt;24,'Zaman'!Q9-24&lt;=5),MIN(INDEX('Vergi'!$F$10:$AR$10,MATCH(24,'Zaman'!$F$9:$AR$9,0))-SUM(F36:P36),MAX(0,'Vergi'!Q11-SUM(Q13:Q35))),0)</f>
        <v/>
      </c>
      <c r="R36" s="18">
        <f>IF(AND('Zaman'!R9&gt;24,'Zaman'!R9-24&lt;=5),MIN(INDEX('Vergi'!$F$10:$AR$10,MATCH(24,'Zaman'!$F$9:$AR$9,0))-SUM(F36:Q36),MAX(0,'Vergi'!R11-SUM(R13:R35))),0)</f>
        <v/>
      </c>
      <c r="S36" s="18">
        <f>IF(AND('Zaman'!S9&gt;24,'Zaman'!S9-24&lt;=5),MIN(INDEX('Vergi'!$F$10:$AR$10,MATCH(24,'Zaman'!$F$9:$AR$9,0))-SUM(F36:R36),MAX(0,'Vergi'!S11-SUM(S13:S35))),0)</f>
        <v/>
      </c>
      <c r="T36" s="18">
        <f>IF(AND('Zaman'!T9&gt;24,'Zaman'!T9-24&lt;=5),MIN(INDEX('Vergi'!$F$10:$AR$10,MATCH(24,'Zaman'!$F$9:$AR$9,0))-SUM(F36:S36),MAX(0,'Vergi'!T11-SUM(T13:T35))),0)</f>
        <v/>
      </c>
      <c r="U36" s="18">
        <f>IF(AND('Zaman'!U9&gt;24,'Zaman'!U9-24&lt;=5),MIN(INDEX('Vergi'!$F$10:$AR$10,MATCH(24,'Zaman'!$F$9:$AR$9,0))-SUM(F36:T36),MAX(0,'Vergi'!U11-SUM(U13:U35))),0)</f>
        <v/>
      </c>
      <c r="V36" s="18">
        <f>IF(AND('Zaman'!V9&gt;24,'Zaman'!V9-24&lt;=5),MIN(INDEX('Vergi'!$F$10:$AR$10,MATCH(24,'Zaman'!$F$9:$AR$9,0))-SUM(F36:U36),MAX(0,'Vergi'!V11-SUM(V13:V35))),0)</f>
        <v/>
      </c>
      <c r="W36" s="18">
        <f>IF(AND('Zaman'!W9&gt;24,'Zaman'!W9-24&lt;=5),MIN(INDEX('Vergi'!$F$10:$AR$10,MATCH(24,'Zaman'!$F$9:$AR$9,0))-SUM(F36:V36),MAX(0,'Vergi'!W11-SUM(W13:W35))),0)</f>
        <v/>
      </c>
      <c r="X36" s="18">
        <f>IF(AND('Zaman'!X9&gt;24,'Zaman'!X9-24&lt;=5),MIN(INDEX('Vergi'!$F$10:$AR$10,MATCH(24,'Zaman'!$F$9:$AR$9,0))-SUM(F36:W36),MAX(0,'Vergi'!X11-SUM(X13:X35))),0)</f>
        <v/>
      </c>
      <c r="Y36" s="18">
        <f>IF(AND('Zaman'!Y9&gt;24,'Zaman'!Y9-24&lt;=5),MIN(INDEX('Vergi'!$F$10:$AR$10,MATCH(24,'Zaman'!$F$9:$AR$9,0))-SUM(F36:X36),MAX(0,'Vergi'!Y11-SUM(Y13:Y35))),0)</f>
        <v/>
      </c>
      <c r="Z36" s="18">
        <f>IF(AND('Zaman'!Z9&gt;24,'Zaman'!Z9-24&lt;=5),MIN(INDEX('Vergi'!$F$10:$AR$10,MATCH(24,'Zaman'!$F$9:$AR$9,0))-SUM(F36:Y36),MAX(0,'Vergi'!Z11-SUM(Z13:Z35))),0)</f>
        <v/>
      </c>
      <c r="AA36" s="18">
        <f>IF(AND('Zaman'!AA9&gt;24,'Zaman'!AA9-24&lt;=5),MIN(INDEX('Vergi'!$F$10:$AR$10,MATCH(24,'Zaman'!$F$9:$AR$9,0))-SUM(F36:Z36),MAX(0,'Vergi'!AA11-SUM(AA13:AA35))),0)</f>
        <v/>
      </c>
      <c r="AB36" s="18">
        <f>IF(AND('Zaman'!AB9&gt;24,'Zaman'!AB9-24&lt;=5),MIN(INDEX('Vergi'!$F$10:$AR$10,MATCH(24,'Zaman'!$F$9:$AR$9,0))-SUM(F36:AA36),MAX(0,'Vergi'!AB11-SUM(AB13:AB35))),0)</f>
        <v/>
      </c>
      <c r="AC36" s="18">
        <f>IF(AND('Zaman'!AC9&gt;24,'Zaman'!AC9-24&lt;=5),MIN(INDEX('Vergi'!$F$10:$AR$10,MATCH(24,'Zaman'!$F$9:$AR$9,0))-SUM(F36:AB36),MAX(0,'Vergi'!AC11-SUM(AC13:AC35))),0)</f>
        <v/>
      </c>
      <c r="AD36" s="18">
        <f>IF(AND('Zaman'!AD9&gt;24,'Zaman'!AD9-24&lt;=5),MIN(INDEX('Vergi'!$F$10:$AR$10,MATCH(24,'Zaman'!$F$9:$AR$9,0))-SUM(F36:AC36),MAX(0,'Vergi'!AD11-SUM(AD13:AD35))),0)</f>
        <v/>
      </c>
      <c r="AE36" s="18">
        <f>IF(AND('Zaman'!AE9&gt;24,'Zaman'!AE9-24&lt;=5),MIN(INDEX('Vergi'!$F$10:$AR$10,MATCH(24,'Zaman'!$F$9:$AR$9,0))-SUM(F36:AD36),MAX(0,'Vergi'!AE11-SUM(AE13:AE35))),0)</f>
        <v/>
      </c>
      <c r="AF36" s="18">
        <f>IF(AND('Zaman'!AF9&gt;24,'Zaman'!AF9-24&lt;=5),MIN(INDEX('Vergi'!$F$10:$AR$10,MATCH(24,'Zaman'!$F$9:$AR$9,0))-SUM(F36:AE36),MAX(0,'Vergi'!AF11-SUM(AF13:AF35))),0)</f>
        <v/>
      </c>
      <c r="AG36" s="18">
        <f>IF(AND('Zaman'!AG9&gt;24,'Zaman'!AG9-24&lt;=5),MIN(INDEX('Vergi'!$F$10:$AR$10,MATCH(24,'Zaman'!$F$9:$AR$9,0))-SUM(F36:AF36),MAX(0,'Vergi'!AG11-SUM(AG13:AG35))),0)</f>
        <v/>
      </c>
      <c r="AH36" s="18">
        <f>IF(AND('Zaman'!AH9&gt;24,'Zaman'!AH9-24&lt;=5),MIN(INDEX('Vergi'!$F$10:$AR$10,MATCH(24,'Zaman'!$F$9:$AR$9,0))-SUM(F36:AG36),MAX(0,'Vergi'!AH11-SUM(AH13:AH35))),0)</f>
        <v/>
      </c>
      <c r="AI36" s="18">
        <f>IF(AND('Zaman'!AI9&gt;24,'Zaman'!AI9-24&lt;=5),MIN(INDEX('Vergi'!$F$10:$AR$10,MATCH(24,'Zaman'!$F$9:$AR$9,0))-SUM(F36:AH36),MAX(0,'Vergi'!AI11-SUM(AI13:AI35))),0)</f>
        <v/>
      </c>
      <c r="AJ36" s="18">
        <f>IF(AND('Zaman'!AJ9&gt;24,'Zaman'!AJ9-24&lt;=5),MIN(INDEX('Vergi'!$F$10:$AR$10,MATCH(24,'Zaman'!$F$9:$AR$9,0))-SUM(F36:AI36),MAX(0,'Vergi'!AJ11-SUM(AJ13:AJ35))),0)</f>
        <v/>
      </c>
      <c r="AK36" s="18">
        <f>IF(AND('Zaman'!AK9&gt;24,'Zaman'!AK9-24&lt;=5),MIN(INDEX('Vergi'!$F$10:$AR$10,MATCH(24,'Zaman'!$F$9:$AR$9,0))-SUM(F36:AJ36),MAX(0,'Vergi'!AK11-SUM(AK13:AK35))),0)</f>
        <v/>
      </c>
      <c r="AL36" s="18">
        <f>IF(AND('Zaman'!AL9&gt;24,'Zaman'!AL9-24&lt;=5),MIN(INDEX('Vergi'!$F$10:$AR$10,MATCH(24,'Zaman'!$F$9:$AR$9,0))-SUM(F36:AK36),MAX(0,'Vergi'!AL11-SUM(AL13:AL35))),0)</f>
        <v/>
      </c>
      <c r="AM36" s="18">
        <f>IF(AND('Zaman'!AM9&gt;24,'Zaman'!AM9-24&lt;=5),MIN(INDEX('Vergi'!$F$10:$AR$10,MATCH(24,'Zaman'!$F$9:$AR$9,0))-SUM(F36:AL36),MAX(0,'Vergi'!AM11-SUM(AM13:AM35))),0)</f>
        <v/>
      </c>
      <c r="AN36" s="18">
        <f>IF(AND('Zaman'!AN9&gt;24,'Zaman'!AN9-24&lt;=5),MIN(INDEX('Vergi'!$F$10:$AR$10,MATCH(24,'Zaman'!$F$9:$AR$9,0))-SUM(F36:AM36),MAX(0,'Vergi'!AN11-SUM(AN13:AN35))),0)</f>
        <v/>
      </c>
      <c r="AO36" s="18">
        <f>IF(AND('Zaman'!AO9&gt;24,'Zaman'!AO9-24&lt;=5),MIN(INDEX('Vergi'!$F$10:$AR$10,MATCH(24,'Zaman'!$F$9:$AR$9,0))-SUM(F36:AN36),MAX(0,'Vergi'!AO11-SUM(AO13:AO35))),0)</f>
        <v/>
      </c>
      <c r="AP36" s="18">
        <f>IF(AND('Zaman'!AP9&gt;24,'Zaman'!AP9-24&lt;=5),MIN(INDEX('Vergi'!$F$10:$AR$10,MATCH(24,'Zaman'!$F$9:$AR$9,0))-SUM(F36:AO36),MAX(0,'Vergi'!AP11-SUM(AP13:AP35))),0)</f>
        <v/>
      </c>
      <c r="AQ36" s="18">
        <f>IF(AND('Zaman'!AQ9&gt;24,'Zaman'!AQ9-24&lt;=5),MIN(INDEX('Vergi'!$F$10:$AR$10,MATCH(24,'Zaman'!$F$9:$AR$9,0))-SUM(F36:AP36),MAX(0,'Vergi'!AQ11-SUM(AQ13:AQ35))),0)</f>
        <v/>
      </c>
      <c r="AR36" s="18">
        <f>IF(AND('Zaman'!AR9&gt;24,'Zaman'!AR9-24&lt;=5),MIN(INDEX('Vergi'!$F$10:$AR$10,MATCH(24,'Zaman'!$F$9:$AR$9,0))-SUM(F36:AQ36),MAX(0,'Vergi'!AR11-SUM(AR13:AR35))),0)</f>
        <v/>
      </c>
    </row>
    <row r="37">
      <c r="A37" t="inlineStr">
        <is>
          <t>Zarar yılı 25 — kullanım</t>
        </is>
      </c>
      <c r="B37" t="inlineStr">
        <is>
          <t>USD</t>
        </is>
      </c>
      <c r="F37" s="18">
        <f>IF(AND('Zaman'!F9&gt;25,'Zaman'!F9-25&lt;=5),MIN(INDEX('Vergi'!$F$10:$AR$10,MATCH(25,'Zaman'!$F$9:$AR$9,0))-0,MAX(0,'Vergi'!F11-SUM(F13:F36))),0)</f>
        <v/>
      </c>
      <c r="G37" s="18">
        <f>IF(AND('Zaman'!G9&gt;25,'Zaman'!G9-25&lt;=5),MIN(INDEX('Vergi'!$F$10:$AR$10,MATCH(25,'Zaman'!$F$9:$AR$9,0))-SUM(F37:F37),MAX(0,'Vergi'!G11-SUM(G13:G36))),0)</f>
        <v/>
      </c>
      <c r="H37" s="18">
        <f>IF(AND('Zaman'!H9&gt;25,'Zaman'!H9-25&lt;=5),MIN(INDEX('Vergi'!$F$10:$AR$10,MATCH(25,'Zaman'!$F$9:$AR$9,0))-SUM(F37:G37),MAX(0,'Vergi'!H11-SUM(H13:H36))),0)</f>
        <v/>
      </c>
      <c r="I37" s="18">
        <f>IF(AND('Zaman'!I9&gt;25,'Zaman'!I9-25&lt;=5),MIN(INDEX('Vergi'!$F$10:$AR$10,MATCH(25,'Zaman'!$F$9:$AR$9,0))-SUM(F37:H37),MAX(0,'Vergi'!I11-SUM(I13:I36))),0)</f>
        <v/>
      </c>
      <c r="J37" s="18">
        <f>IF(AND('Zaman'!J9&gt;25,'Zaman'!J9-25&lt;=5),MIN(INDEX('Vergi'!$F$10:$AR$10,MATCH(25,'Zaman'!$F$9:$AR$9,0))-SUM(F37:I37),MAX(0,'Vergi'!J11-SUM(J13:J36))),0)</f>
        <v/>
      </c>
      <c r="K37" s="18">
        <f>IF(AND('Zaman'!K9&gt;25,'Zaman'!K9-25&lt;=5),MIN(INDEX('Vergi'!$F$10:$AR$10,MATCH(25,'Zaman'!$F$9:$AR$9,0))-SUM(F37:J37),MAX(0,'Vergi'!K11-SUM(K13:K36))),0)</f>
        <v/>
      </c>
      <c r="L37" s="18">
        <f>IF(AND('Zaman'!L9&gt;25,'Zaman'!L9-25&lt;=5),MIN(INDEX('Vergi'!$F$10:$AR$10,MATCH(25,'Zaman'!$F$9:$AR$9,0))-SUM(F37:K37),MAX(0,'Vergi'!L11-SUM(L13:L36))),0)</f>
        <v/>
      </c>
      <c r="M37" s="18">
        <f>IF(AND('Zaman'!M9&gt;25,'Zaman'!M9-25&lt;=5),MIN(INDEX('Vergi'!$F$10:$AR$10,MATCH(25,'Zaman'!$F$9:$AR$9,0))-SUM(F37:L37),MAX(0,'Vergi'!M11-SUM(M13:M36))),0)</f>
        <v/>
      </c>
      <c r="N37" s="18">
        <f>IF(AND('Zaman'!N9&gt;25,'Zaman'!N9-25&lt;=5),MIN(INDEX('Vergi'!$F$10:$AR$10,MATCH(25,'Zaman'!$F$9:$AR$9,0))-SUM(F37:M37),MAX(0,'Vergi'!N11-SUM(N13:N36))),0)</f>
        <v/>
      </c>
      <c r="O37" s="18">
        <f>IF(AND('Zaman'!O9&gt;25,'Zaman'!O9-25&lt;=5),MIN(INDEX('Vergi'!$F$10:$AR$10,MATCH(25,'Zaman'!$F$9:$AR$9,0))-SUM(F37:N37),MAX(0,'Vergi'!O11-SUM(O13:O36))),0)</f>
        <v/>
      </c>
      <c r="P37" s="18">
        <f>IF(AND('Zaman'!P9&gt;25,'Zaman'!P9-25&lt;=5),MIN(INDEX('Vergi'!$F$10:$AR$10,MATCH(25,'Zaman'!$F$9:$AR$9,0))-SUM(F37:O37),MAX(0,'Vergi'!P11-SUM(P13:P36))),0)</f>
        <v/>
      </c>
      <c r="Q37" s="18">
        <f>IF(AND('Zaman'!Q9&gt;25,'Zaman'!Q9-25&lt;=5),MIN(INDEX('Vergi'!$F$10:$AR$10,MATCH(25,'Zaman'!$F$9:$AR$9,0))-SUM(F37:P37),MAX(0,'Vergi'!Q11-SUM(Q13:Q36))),0)</f>
        <v/>
      </c>
      <c r="R37" s="18">
        <f>IF(AND('Zaman'!R9&gt;25,'Zaman'!R9-25&lt;=5),MIN(INDEX('Vergi'!$F$10:$AR$10,MATCH(25,'Zaman'!$F$9:$AR$9,0))-SUM(F37:Q37),MAX(0,'Vergi'!R11-SUM(R13:R36))),0)</f>
        <v/>
      </c>
      <c r="S37" s="18">
        <f>IF(AND('Zaman'!S9&gt;25,'Zaman'!S9-25&lt;=5),MIN(INDEX('Vergi'!$F$10:$AR$10,MATCH(25,'Zaman'!$F$9:$AR$9,0))-SUM(F37:R37),MAX(0,'Vergi'!S11-SUM(S13:S36))),0)</f>
        <v/>
      </c>
      <c r="T37" s="18">
        <f>IF(AND('Zaman'!T9&gt;25,'Zaman'!T9-25&lt;=5),MIN(INDEX('Vergi'!$F$10:$AR$10,MATCH(25,'Zaman'!$F$9:$AR$9,0))-SUM(F37:S37),MAX(0,'Vergi'!T11-SUM(T13:T36))),0)</f>
        <v/>
      </c>
      <c r="U37" s="18">
        <f>IF(AND('Zaman'!U9&gt;25,'Zaman'!U9-25&lt;=5),MIN(INDEX('Vergi'!$F$10:$AR$10,MATCH(25,'Zaman'!$F$9:$AR$9,0))-SUM(F37:T37),MAX(0,'Vergi'!U11-SUM(U13:U36))),0)</f>
        <v/>
      </c>
      <c r="V37" s="18">
        <f>IF(AND('Zaman'!V9&gt;25,'Zaman'!V9-25&lt;=5),MIN(INDEX('Vergi'!$F$10:$AR$10,MATCH(25,'Zaman'!$F$9:$AR$9,0))-SUM(F37:U37),MAX(0,'Vergi'!V11-SUM(V13:V36))),0)</f>
        <v/>
      </c>
      <c r="W37" s="18">
        <f>IF(AND('Zaman'!W9&gt;25,'Zaman'!W9-25&lt;=5),MIN(INDEX('Vergi'!$F$10:$AR$10,MATCH(25,'Zaman'!$F$9:$AR$9,0))-SUM(F37:V37),MAX(0,'Vergi'!W11-SUM(W13:W36))),0)</f>
        <v/>
      </c>
      <c r="X37" s="18">
        <f>IF(AND('Zaman'!X9&gt;25,'Zaman'!X9-25&lt;=5),MIN(INDEX('Vergi'!$F$10:$AR$10,MATCH(25,'Zaman'!$F$9:$AR$9,0))-SUM(F37:W37),MAX(0,'Vergi'!X11-SUM(X13:X36))),0)</f>
        <v/>
      </c>
      <c r="Y37" s="18">
        <f>IF(AND('Zaman'!Y9&gt;25,'Zaman'!Y9-25&lt;=5),MIN(INDEX('Vergi'!$F$10:$AR$10,MATCH(25,'Zaman'!$F$9:$AR$9,0))-SUM(F37:X37),MAX(0,'Vergi'!Y11-SUM(Y13:Y36))),0)</f>
        <v/>
      </c>
      <c r="Z37" s="18">
        <f>IF(AND('Zaman'!Z9&gt;25,'Zaman'!Z9-25&lt;=5),MIN(INDEX('Vergi'!$F$10:$AR$10,MATCH(25,'Zaman'!$F$9:$AR$9,0))-SUM(F37:Y37),MAX(0,'Vergi'!Z11-SUM(Z13:Z36))),0)</f>
        <v/>
      </c>
      <c r="AA37" s="18">
        <f>IF(AND('Zaman'!AA9&gt;25,'Zaman'!AA9-25&lt;=5),MIN(INDEX('Vergi'!$F$10:$AR$10,MATCH(25,'Zaman'!$F$9:$AR$9,0))-SUM(F37:Z37),MAX(0,'Vergi'!AA11-SUM(AA13:AA36))),0)</f>
        <v/>
      </c>
      <c r="AB37" s="18">
        <f>IF(AND('Zaman'!AB9&gt;25,'Zaman'!AB9-25&lt;=5),MIN(INDEX('Vergi'!$F$10:$AR$10,MATCH(25,'Zaman'!$F$9:$AR$9,0))-SUM(F37:AA37),MAX(0,'Vergi'!AB11-SUM(AB13:AB36))),0)</f>
        <v/>
      </c>
      <c r="AC37" s="18">
        <f>IF(AND('Zaman'!AC9&gt;25,'Zaman'!AC9-25&lt;=5),MIN(INDEX('Vergi'!$F$10:$AR$10,MATCH(25,'Zaman'!$F$9:$AR$9,0))-SUM(F37:AB37),MAX(0,'Vergi'!AC11-SUM(AC13:AC36))),0)</f>
        <v/>
      </c>
      <c r="AD37" s="18">
        <f>IF(AND('Zaman'!AD9&gt;25,'Zaman'!AD9-25&lt;=5),MIN(INDEX('Vergi'!$F$10:$AR$10,MATCH(25,'Zaman'!$F$9:$AR$9,0))-SUM(F37:AC37),MAX(0,'Vergi'!AD11-SUM(AD13:AD36))),0)</f>
        <v/>
      </c>
      <c r="AE37" s="18">
        <f>IF(AND('Zaman'!AE9&gt;25,'Zaman'!AE9-25&lt;=5),MIN(INDEX('Vergi'!$F$10:$AR$10,MATCH(25,'Zaman'!$F$9:$AR$9,0))-SUM(F37:AD37),MAX(0,'Vergi'!AE11-SUM(AE13:AE36))),0)</f>
        <v/>
      </c>
      <c r="AF37" s="18">
        <f>IF(AND('Zaman'!AF9&gt;25,'Zaman'!AF9-25&lt;=5),MIN(INDEX('Vergi'!$F$10:$AR$10,MATCH(25,'Zaman'!$F$9:$AR$9,0))-SUM(F37:AE37),MAX(0,'Vergi'!AF11-SUM(AF13:AF36))),0)</f>
        <v/>
      </c>
      <c r="AG37" s="18">
        <f>IF(AND('Zaman'!AG9&gt;25,'Zaman'!AG9-25&lt;=5),MIN(INDEX('Vergi'!$F$10:$AR$10,MATCH(25,'Zaman'!$F$9:$AR$9,0))-SUM(F37:AF37),MAX(0,'Vergi'!AG11-SUM(AG13:AG36))),0)</f>
        <v/>
      </c>
      <c r="AH37" s="18">
        <f>IF(AND('Zaman'!AH9&gt;25,'Zaman'!AH9-25&lt;=5),MIN(INDEX('Vergi'!$F$10:$AR$10,MATCH(25,'Zaman'!$F$9:$AR$9,0))-SUM(F37:AG37),MAX(0,'Vergi'!AH11-SUM(AH13:AH36))),0)</f>
        <v/>
      </c>
      <c r="AI37" s="18">
        <f>IF(AND('Zaman'!AI9&gt;25,'Zaman'!AI9-25&lt;=5),MIN(INDEX('Vergi'!$F$10:$AR$10,MATCH(25,'Zaman'!$F$9:$AR$9,0))-SUM(F37:AH37),MAX(0,'Vergi'!AI11-SUM(AI13:AI36))),0)</f>
        <v/>
      </c>
      <c r="AJ37" s="18">
        <f>IF(AND('Zaman'!AJ9&gt;25,'Zaman'!AJ9-25&lt;=5),MIN(INDEX('Vergi'!$F$10:$AR$10,MATCH(25,'Zaman'!$F$9:$AR$9,0))-SUM(F37:AI37),MAX(0,'Vergi'!AJ11-SUM(AJ13:AJ36))),0)</f>
        <v/>
      </c>
      <c r="AK37" s="18">
        <f>IF(AND('Zaman'!AK9&gt;25,'Zaman'!AK9-25&lt;=5),MIN(INDEX('Vergi'!$F$10:$AR$10,MATCH(25,'Zaman'!$F$9:$AR$9,0))-SUM(F37:AJ37),MAX(0,'Vergi'!AK11-SUM(AK13:AK36))),0)</f>
        <v/>
      </c>
      <c r="AL37" s="18">
        <f>IF(AND('Zaman'!AL9&gt;25,'Zaman'!AL9-25&lt;=5),MIN(INDEX('Vergi'!$F$10:$AR$10,MATCH(25,'Zaman'!$F$9:$AR$9,0))-SUM(F37:AK37),MAX(0,'Vergi'!AL11-SUM(AL13:AL36))),0)</f>
        <v/>
      </c>
      <c r="AM37" s="18">
        <f>IF(AND('Zaman'!AM9&gt;25,'Zaman'!AM9-25&lt;=5),MIN(INDEX('Vergi'!$F$10:$AR$10,MATCH(25,'Zaman'!$F$9:$AR$9,0))-SUM(F37:AL37),MAX(0,'Vergi'!AM11-SUM(AM13:AM36))),0)</f>
        <v/>
      </c>
      <c r="AN37" s="18">
        <f>IF(AND('Zaman'!AN9&gt;25,'Zaman'!AN9-25&lt;=5),MIN(INDEX('Vergi'!$F$10:$AR$10,MATCH(25,'Zaman'!$F$9:$AR$9,0))-SUM(F37:AM37),MAX(0,'Vergi'!AN11-SUM(AN13:AN36))),0)</f>
        <v/>
      </c>
      <c r="AO37" s="18">
        <f>IF(AND('Zaman'!AO9&gt;25,'Zaman'!AO9-25&lt;=5),MIN(INDEX('Vergi'!$F$10:$AR$10,MATCH(25,'Zaman'!$F$9:$AR$9,0))-SUM(F37:AN37),MAX(0,'Vergi'!AO11-SUM(AO13:AO36))),0)</f>
        <v/>
      </c>
      <c r="AP37" s="18">
        <f>IF(AND('Zaman'!AP9&gt;25,'Zaman'!AP9-25&lt;=5),MIN(INDEX('Vergi'!$F$10:$AR$10,MATCH(25,'Zaman'!$F$9:$AR$9,0))-SUM(F37:AO37),MAX(0,'Vergi'!AP11-SUM(AP13:AP36))),0)</f>
        <v/>
      </c>
      <c r="AQ37" s="18">
        <f>IF(AND('Zaman'!AQ9&gt;25,'Zaman'!AQ9-25&lt;=5),MIN(INDEX('Vergi'!$F$10:$AR$10,MATCH(25,'Zaman'!$F$9:$AR$9,0))-SUM(F37:AP37),MAX(0,'Vergi'!AQ11-SUM(AQ13:AQ36))),0)</f>
        <v/>
      </c>
      <c r="AR37" s="18">
        <f>IF(AND('Zaman'!AR9&gt;25,'Zaman'!AR9-25&lt;=5),MIN(INDEX('Vergi'!$F$10:$AR$10,MATCH(25,'Zaman'!$F$9:$AR$9,0))-SUM(F37:AQ37),MAX(0,'Vergi'!AR11-SUM(AR13:AR36))),0)</f>
        <v/>
      </c>
    </row>
    <row r="38">
      <c r="A38" t="inlineStr">
        <is>
          <t>Zarar yılı 26 — kullanım</t>
        </is>
      </c>
      <c r="B38" t="inlineStr">
        <is>
          <t>USD</t>
        </is>
      </c>
      <c r="F38" s="18">
        <f>IF(AND('Zaman'!F9&gt;26,'Zaman'!F9-26&lt;=5),MIN(INDEX('Vergi'!$F$10:$AR$10,MATCH(26,'Zaman'!$F$9:$AR$9,0))-0,MAX(0,'Vergi'!F11-SUM(F13:F37))),0)</f>
        <v/>
      </c>
      <c r="G38" s="18">
        <f>IF(AND('Zaman'!G9&gt;26,'Zaman'!G9-26&lt;=5),MIN(INDEX('Vergi'!$F$10:$AR$10,MATCH(26,'Zaman'!$F$9:$AR$9,0))-SUM(F38:F38),MAX(0,'Vergi'!G11-SUM(G13:G37))),0)</f>
        <v/>
      </c>
      <c r="H38" s="18">
        <f>IF(AND('Zaman'!H9&gt;26,'Zaman'!H9-26&lt;=5),MIN(INDEX('Vergi'!$F$10:$AR$10,MATCH(26,'Zaman'!$F$9:$AR$9,0))-SUM(F38:G38),MAX(0,'Vergi'!H11-SUM(H13:H37))),0)</f>
        <v/>
      </c>
      <c r="I38" s="18">
        <f>IF(AND('Zaman'!I9&gt;26,'Zaman'!I9-26&lt;=5),MIN(INDEX('Vergi'!$F$10:$AR$10,MATCH(26,'Zaman'!$F$9:$AR$9,0))-SUM(F38:H38),MAX(0,'Vergi'!I11-SUM(I13:I37))),0)</f>
        <v/>
      </c>
      <c r="J38" s="18">
        <f>IF(AND('Zaman'!J9&gt;26,'Zaman'!J9-26&lt;=5),MIN(INDEX('Vergi'!$F$10:$AR$10,MATCH(26,'Zaman'!$F$9:$AR$9,0))-SUM(F38:I38),MAX(0,'Vergi'!J11-SUM(J13:J37))),0)</f>
        <v/>
      </c>
      <c r="K38" s="18">
        <f>IF(AND('Zaman'!K9&gt;26,'Zaman'!K9-26&lt;=5),MIN(INDEX('Vergi'!$F$10:$AR$10,MATCH(26,'Zaman'!$F$9:$AR$9,0))-SUM(F38:J38),MAX(0,'Vergi'!K11-SUM(K13:K37))),0)</f>
        <v/>
      </c>
      <c r="L38" s="18">
        <f>IF(AND('Zaman'!L9&gt;26,'Zaman'!L9-26&lt;=5),MIN(INDEX('Vergi'!$F$10:$AR$10,MATCH(26,'Zaman'!$F$9:$AR$9,0))-SUM(F38:K38),MAX(0,'Vergi'!L11-SUM(L13:L37))),0)</f>
        <v/>
      </c>
      <c r="M38" s="18">
        <f>IF(AND('Zaman'!M9&gt;26,'Zaman'!M9-26&lt;=5),MIN(INDEX('Vergi'!$F$10:$AR$10,MATCH(26,'Zaman'!$F$9:$AR$9,0))-SUM(F38:L38),MAX(0,'Vergi'!M11-SUM(M13:M37))),0)</f>
        <v/>
      </c>
      <c r="N38" s="18">
        <f>IF(AND('Zaman'!N9&gt;26,'Zaman'!N9-26&lt;=5),MIN(INDEX('Vergi'!$F$10:$AR$10,MATCH(26,'Zaman'!$F$9:$AR$9,0))-SUM(F38:M38),MAX(0,'Vergi'!N11-SUM(N13:N37))),0)</f>
        <v/>
      </c>
      <c r="O38" s="18">
        <f>IF(AND('Zaman'!O9&gt;26,'Zaman'!O9-26&lt;=5),MIN(INDEX('Vergi'!$F$10:$AR$10,MATCH(26,'Zaman'!$F$9:$AR$9,0))-SUM(F38:N38),MAX(0,'Vergi'!O11-SUM(O13:O37))),0)</f>
        <v/>
      </c>
      <c r="P38" s="18">
        <f>IF(AND('Zaman'!P9&gt;26,'Zaman'!P9-26&lt;=5),MIN(INDEX('Vergi'!$F$10:$AR$10,MATCH(26,'Zaman'!$F$9:$AR$9,0))-SUM(F38:O38),MAX(0,'Vergi'!P11-SUM(P13:P37))),0)</f>
        <v/>
      </c>
      <c r="Q38" s="18">
        <f>IF(AND('Zaman'!Q9&gt;26,'Zaman'!Q9-26&lt;=5),MIN(INDEX('Vergi'!$F$10:$AR$10,MATCH(26,'Zaman'!$F$9:$AR$9,0))-SUM(F38:P38),MAX(0,'Vergi'!Q11-SUM(Q13:Q37))),0)</f>
        <v/>
      </c>
      <c r="R38" s="18">
        <f>IF(AND('Zaman'!R9&gt;26,'Zaman'!R9-26&lt;=5),MIN(INDEX('Vergi'!$F$10:$AR$10,MATCH(26,'Zaman'!$F$9:$AR$9,0))-SUM(F38:Q38),MAX(0,'Vergi'!R11-SUM(R13:R37))),0)</f>
        <v/>
      </c>
      <c r="S38" s="18">
        <f>IF(AND('Zaman'!S9&gt;26,'Zaman'!S9-26&lt;=5),MIN(INDEX('Vergi'!$F$10:$AR$10,MATCH(26,'Zaman'!$F$9:$AR$9,0))-SUM(F38:R38),MAX(0,'Vergi'!S11-SUM(S13:S37))),0)</f>
        <v/>
      </c>
      <c r="T38" s="18">
        <f>IF(AND('Zaman'!T9&gt;26,'Zaman'!T9-26&lt;=5),MIN(INDEX('Vergi'!$F$10:$AR$10,MATCH(26,'Zaman'!$F$9:$AR$9,0))-SUM(F38:S38),MAX(0,'Vergi'!T11-SUM(T13:T37))),0)</f>
        <v/>
      </c>
      <c r="U38" s="18">
        <f>IF(AND('Zaman'!U9&gt;26,'Zaman'!U9-26&lt;=5),MIN(INDEX('Vergi'!$F$10:$AR$10,MATCH(26,'Zaman'!$F$9:$AR$9,0))-SUM(F38:T38),MAX(0,'Vergi'!U11-SUM(U13:U37))),0)</f>
        <v/>
      </c>
      <c r="V38" s="18">
        <f>IF(AND('Zaman'!V9&gt;26,'Zaman'!V9-26&lt;=5),MIN(INDEX('Vergi'!$F$10:$AR$10,MATCH(26,'Zaman'!$F$9:$AR$9,0))-SUM(F38:U38),MAX(0,'Vergi'!V11-SUM(V13:V37))),0)</f>
        <v/>
      </c>
      <c r="W38" s="18">
        <f>IF(AND('Zaman'!W9&gt;26,'Zaman'!W9-26&lt;=5),MIN(INDEX('Vergi'!$F$10:$AR$10,MATCH(26,'Zaman'!$F$9:$AR$9,0))-SUM(F38:V38),MAX(0,'Vergi'!W11-SUM(W13:W37))),0)</f>
        <v/>
      </c>
      <c r="X38" s="18">
        <f>IF(AND('Zaman'!X9&gt;26,'Zaman'!X9-26&lt;=5),MIN(INDEX('Vergi'!$F$10:$AR$10,MATCH(26,'Zaman'!$F$9:$AR$9,0))-SUM(F38:W38),MAX(0,'Vergi'!X11-SUM(X13:X37))),0)</f>
        <v/>
      </c>
      <c r="Y38" s="18">
        <f>IF(AND('Zaman'!Y9&gt;26,'Zaman'!Y9-26&lt;=5),MIN(INDEX('Vergi'!$F$10:$AR$10,MATCH(26,'Zaman'!$F$9:$AR$9,0))-SUM(F38:X38),MAX(0,'Vergi'!Y11-SUM(Y13:Y37))),0)</f>
        <v/>
      </c>
      <c r="Z38" s="18">
        <f>IF(AND('Zaman'!Z9&gt;26,'Zaman'!Z9-26&lt;=5),MIN(INDEX('Vergi'!$F$10:$AR$10,MATCH(26,'Zaman'!$F$9:$AR$9,0))-SUM(F38:Y38),MAX(0,'Vergi'!Z11-SUM(Z13:Z37))),0)</f>
        <v/>
      </c>
      <c r="AA38" s="18">
        <f>IF(AND('Zaman'!AA9&gt;26,'Zaman'!AA9-26&lt;=5),MIN(INDEX('Vergi'!$F$10:$AR$10,MATCH(26,'Zaman'!$F$9:$AR$9,0))-SUM(F38:Z38),MAX(0,'Vergi'!AA11-SUM(AA13:AA37))),0)</f>
        <v/>
      </c>
      <c r="AB38" s="18">
        <f>IF(AND('Zaman'!AB9&gt;26,'Zaman'!AB9-26&lt;=5),MIN(INDEX('Vergi'!$F$10:$AR$10,MATCH(26,'Zaman'!$F$9:$AR$9,0))-SUM(F38:AA38),MAX(0,'Vergi'!AB11-SUM(AB13:AB37))),0)</f>
        <v/>
      </c>
      <c r="AC38" s="18">
        <f>IF(AND('Zaman'!AC9&gt;26,'Zaman'!AC9-26&lt;=5),MIN(INDEX('Vergi'!$F$10:$AR$10,MATCH(26,'Zaman'!$F$9:$AR$9,0))-SUM(F38:AB38),MAX(0,'Vergi'!AC11-SUM(AC13:AC37))),0)</f>
        <v/>
      </c>
      <c r="AD38" s="18">
        <f>IF(AND('Zaman'!AD9&gt;26,'Zaman'!AD9-26&lt;=5),MIN(INDEX('Vergi'!$F$10:$AR$10,MATCH(26,'Zaman'!$F$9:$AR$9,0))-SUM(F38:AC38),MAX(0,'Vergi'!AD11-SUM(AD13:AD37))),0)</f>
        <v/>
      </c>
      <c r="AE38" s="18">
        <f>IF(AND('Zaman'!AE9&gt;26,'Zaman'!AE9-26&lt;=5),MIN(INDEX('Vergi'!$F$10:$AR$10,MATCH(26,'Zaman'!$F$9:$AR$9,0))-SUM(F38:AD38),MAX(0,'Vergi'!AE11-SUM(AE13:AE37))),0)</f>
        <v/>
      </c>
      <c r="AF38" s="18">
        <f>IF(AND('Zaman'!AF9&gt;26,'Zaman'!AF9-26&lt;=5),MIN(INDEX('Vergi'!$F$10:$AR$10,MATCH(26,'Zaman'!$F$9:$AR$9,0))-SUM(F38:AE38),MAX(0,'Vergi'!AF11-SUM(AF13:AF37))),0)</f>
        <v/>
      </c>
      <c r="AG38" s="18">
        <f>IF(AND('Zaman'!AG9&gt;26,'Zaman'!AG9-26&lt;=5),MIN(INDEX('Vergi'!$F$10:$AR$10,MATCH(26,'Zaman'!$F$9:$AR$9,0))-SUM(F38:AF38),MAX(0,'Vergi'!AG11-SUM(AG13:AG37))),0)</f>
        <v/>
      </c>
      <c r="AH38" s="18">
        <f>IF(AND('Zaman'!AH9&gt;26,'Zaman'!AH9-26&lt;=5),MIN(INDEX('Vergi'!$F$10:$AR$10,MATCH(26,'Zaman'!$F$9:$AR$9,0))-SUM(F38:AG38),MAX(0,'Vergi'!AH11-SUM(AH13:AH37))),0)</f>
        <v/>
      </c>
      <c r="AI38" s="18">
        <f>IF(AND('Zaman'!AI9&gt;26,'Zaman'!AI9-26&lt;=5),MIN(INDEX('Vergi'!$F$10:$AR$10,MATCH(26,'Zaman'!$F$9:$AR$9,0))-SUM(F38:AH38),MAX(0,'Vergi'!AI11-SUM(AI13:AI37))),0)</f>
        <v/>
      </c>
      <c r="AJ38" s="18">
        <f>IF(AND('Zaman'!AJ9&gt;26,'Zaman'!AJ9-26&lt;=5),MIN(INDEX('Vergi'!$F$10:$AR$10,MATCH(26,'Zaman'!$F$9:$AR$9,0))-SUM(F38:AI38),MAX(0,'Vergi'!AJ11-SUM(AJ13:AJ37))),0)</f>
        <v/>
      </c>
      <c r="AK38" s="18">
        <f>IF(AND('Zaman'!AK9&gt;26,'Zaman'!AK9-26&lt;=5),MIN(INDEX('Vergi'!$F$10:$AR$10,MATCH(26,'Zaman'!$F$9:$AR$9,0))-SUM(F38:AJ38),MAX(0,'Vergi'!AK11-SUM(AK13:AK37))),0)</f>
        <v/>
      </c>
      <c r="AL38" s="18">
        <f>IF(AND('Zaman'!AL9&gt;26,'Zaman'!AL9-26&lt;=5),MIN(INDEX('Vergi'!$F$10:$AR$10,MATCH(26,'Zaman'!$F$9:$AR$9,0))-SUM(F38:AK38),MAX(0,'Vergi'!AL11-SUM(AL13:AL37))),0)</f>
        <v/>
      </c>
      <c r="AM38" s="18">
        <f>IF(AND('Zaman'!AM9&gt;26,'Zaman'!AM9-26&lt;=5),MIN(INDEX('Vergi'!$F$10:$AR$10,MATCH(26,'Zaman'!$F$9:$AR$9,0))-SUM(F38:AL38),MAX(0,'Vergi'!AM11-SUM(AM13:AM37))),0)</f>
        <v/>
      </c>
      <c r="AN38" s="18">
        <f>IF(AND('Zaman'!AN9&gt;26,'Zaman'!AN9-26&lt;=5),MIN(INDEX('Vergi'!$F$10:$AR$10,MATCH(26,'Zaman'!$F$9:$AR$9,0))-SUM(F38:AM38),MAX(0,'Vergi'!AN11-SUM(AN13:AN37))),0)</f>
        <v/>
      </c>
      <c r="AO38" s="18">
        <f>IF(AND('Zaman'!AO9&gt;26,'Zaman'!AO9-26&lt;=5),MIN(INDEX('Vergi'!$F$10:$AR$10,MATCH(26,'Zaman'!$F$9:$AR$9,0))-SUM(F38:AN38),MAX(0,'Vergi'!AO11-SUM(AO13:AO37))),0)</f>
        <v/>
      </c>
      <c r="AP38" s="18">
        <f>IF(AND('Zaman'!AP9&gt;26,'Zaman'!AP9-26&lt;=5),MIN(INDEX('Vergi'!$F$10:$AR$10,MATCH(26,'Zaman'!$F$9:$AR$9,0))-SUM(F38:AO38),MAX(0,'Vergi'!AP11-SUM(AP13:AP37))),0)</f>
        <v/>
      </c>
      <c r="AQ38" s="18">
        <f>IF(AND('Zaman'!AQ9&gt;26,'Zaman'!AQ9-26&lt;=5),MIN(INDEX('Vergi'!$F$10:$AR$10,MATCH(26,'Zaman'!$F$9:$AR$9,0))-SUM(F38:AP38),MAX(0,'Vergi'!AQ11-SUM(AQ13:AQ37))),0)</f>
        <v/>
      </c>
      <c r="AR38" s="18">
        <f>IF(AND('Zaman'!AR9&gt;26,'Zaman'!AR9-26&lt;=5),MIN(INDEX('Vergi'!$F$10:$AR$10,MATCH(26,'Zaman'!$F$9:$AR$9,0))-SUM(F38:AQ38),MAX(0,'Vergi'!AR11-SUM(AR13:AR37))),0)</f>
        <v/>
      </c>
    </row>
    <row r="39">
      <c r="A39" t="inlineStr">
        <is>
          <t>Zarar yılı 27 — kullanım</t>
        </is>
      </c>
      <c r="B39" t="inlineStr">
        <is>
          <t>USD</t>
        </is>
      </c>
      <c r="F39" s="18">
        <f>IF(AND('Zaman'!F9&gt;27,'Zaman'!F9-27&lt;=5),MIN(INDEX('Vergi'!$F$10:$AR$10,MATCH(27,'Zaman'!$F$9:$AR$9,0))-0,MAX(0,'Vergi'!F11-SUM(F13:F38))),0)</f>
        <v/>
      </c>
      <c r="G39" s="18">
        <f>IF(AND('Zaman'!G9&gt;27,'Zaman'!G9-27&lt;=5),MIN(INDEX('Vergi'!$F$10:$AR$10,MATCH(27,'Zaman'!$F$9:$AR$9,0))-SUM(F39:F39),MAX(0,'Vergi'!G11-SUM(G13:G38))),0)</f>
        <v/>
      </c>
      <c r="H39" s="18">
        <f>IF(AND('Zaman'!H9&gt;27,'Zaman'!H9-27&lt;=5),MIN(INDEX('Vergi'!$F$10:$AR$10,MATCH(27,'Zaman'!$F$9:$AR$9,0))-SUM(F39:G39),MAX(0,'Vergi'!H11-SUM(H13:H38))),0)</f>
        <v/>
      </c>
      <c r="I39" s="18">
        <f>IF(AND('Zaman'!I9&gt;27,'Zaman'!I9-27&lt;=5),MIN(INDEX('Vergi'!$F$10:$AR$10,MATCH(27,'Zaman'!$F$9:$AR$9,0))-SUM(F39:H39),MAX(0,'Vergi'!I11-SUM(I13:I38))),0)</f>
        <v/>
      </c>
      <c r="J39" s="18">
        <f>IF(AND('Zaman'!J9&gt;27,'Zaman'!J9-27&lt;=5),MIN(INDEX('Vergi'!$F$10:$AR$10,MATCH(27,'Zaman'!$F$9:$AR$9,0))-SUM(F39:I39),MAX(0,'Vergi'!J11-SUM(J13:J38))),0)</f>
        <v/>
      </c>
      <c r="K39" s="18">
        <f>IF(AND('Zaman'!K9&gt;27,'Zaman'!K9-27&lt;=5),MIN(INDEX('Vergi'!$F$10:$AR$10,MATCH(27,'Zaman'!$F$9:$AR$9,0))-SUM(F39:J39),MAX(0,'Vergi'!K11-SUM(K13:K38))),0)</f>
        <v/>
      </c>
      <c r="L39" s="18">
        <f>IF(AND('Zaman'!L9&gt;27,'Zaman'!L9-27&lt;=5),MIN(INDEX('Vergi'!$F$10:$AR$10,MATCH(27,'Zaman'!$F$9:$AR$9,0))-SUM(F39:K39),MAX(0,'Vergi'!L11-SUM(L13:L38))),0)</f>
        <v/>
      </c>
      <c r="M39" s="18">
        <f>IF(AND('Zaman'!M9&gt;27,'Zaman'!M9-27&lt;=5),MIN(INDEX('Vergi'!$F$10:$AR$10,MATCH(27,'Zaman'!$F$9:$AR$9,0))-SUM(F39:L39),MAX(0,'Vergi'!M11-SUM(M13:M38))),0)</f>
        <v/>
      </c>
      <c r="N39" s="18">
        <f>IF(AND('Zaman'!N9&gt;27,'Zaman'!N9-27&lt;=5),MIN(INDEX('Vergi'!$F$10:$AR$10,MATCH(27,'Zaman'!$F$9:$AR$9,0))-SUM(F39:M39),MAX(0,'Vergi'!N11-SUM(N13:N38))),0)</f>
        <v/>
      </c>
      <c r="O39" s="18">
        <f>IF(AND('Zaman'!O9&gt;27,'Zaman'!O9-27&lt;=5),MIN(INDEX('Vergi'!$F$10:$AR$10,MATCH(27,'Zaman'!$F$9:$AR$9,0))-SUM(F39:N39),MAX(0,'Vergi'!O11-SUM(O13:O38))),0)</f>
        <v/>
      </c>
      <c r="P39" s="18">
        <f>IF(AND('Zaman'!P9&gt;27,'Zaman'!P9-27&lt;=5),MIN(INDEX('Vergi'!$F$10:$AR$10,MATCH(27,'Zaman'!$F$9:$AR$9,0))-SUM(F39:O39),MAX(0,'Vergi'!P11-SUM(P13:P38))),0)</f>
        <v/>
      </c>
      <c r="Q39" s="18">
        <f>IF(AND('Zaman'!Q9&gt;27,'Zaman'!Q9-27&lt;=5),MIN(INDEX('Vergi'!$F$10:$AR$10,MATCH(27,'Zaman'!$F$9:$AR$9,0))-SUM(F39:P39),MAX(0,'Vergi'!Q11-SUM(Q13:Q38))),0)</f>
        <v/>
      </c>
      <c r="R39" s="18">
        <f>IF(AND('Zaman'!R9&gt;27,'Zaman'!R9-27&lt;=5),MIN(INDEX('Vergi'!$F$10:$AR$10,MATCH(27,'Zaman'!$F$9:$AR$9,0))-SUM(F39:Q39),MAX(0,'Vergi'!R11-SUM(R13:R38))),0)</f>
        <v/>
      </c>
      <c r="S39" s="18">
        <f>IF(AND('Zaman'!S9&gt;27,'Zaman'!S9-27&lt;=5),MIN(INDEX('Vergi'!$F$10:$AR$10,MATCH(27,'Zaman'!$F$9:$AR$9,0))-SUM(F39:R39),MAX(0,'Vergi'!S11-SUM(S13:S38))),0)</f>
        <v/>
      </c>
      <c r="T39" s="18">
        <f>IF(AND('Zaman'!T9&gt;27,'Zaman'!T9-27&lt;=5),MIN(INDEX('Vergi'!$F$10:$AR$10,MATCH(27,'Zaman'!$F$9:$AR$9,0))-SUM(F39:S39),MAX(0,'Vergi'!T11-SUM(T13:T38))),0)</f>
        <v/>
      </c>
      <c r="U39" s="18">
        <f>IF(AND('Zaman'!U9&gt;27,'Zaman'!U9-27&lt;=5),MIN(INDEX('Vergi'!$F$10:$AR$10,MATCH(27,'Zaman'!$F$9:$AR$9,0))-SUM(F39:T39),MAX(0,'Vergi'!U11-SUM(U13:U38))),0)</f>
        <v/>
      </c>
      <c r="V39" s="18">
        <f>IF(AND('Zaman'!V9&gt;27,'Zaman'!V9-27&lt;=5),MIN(INDEX('Vergi'!$F$10:$AR$10,MATCH(27,'Zaman'!$F$9:$AR$9,0))-SUM(F39:U39),MAX(0,'Vergi'!V11-SUM(V13:V38))),0)</f>
        <v/>
      </c>
      <c r="W39" s="18">
        <f>IF(AND('Zaman'!W9&gt;27,'Zaman'!W9-27&lt;=5),MIN(INDEX('Vergi'!$F$10:$AR$10,MATCH(27,'Zaman'!$F$9:$AR$9,0))-SUM(F39:V39),MAX(0,'Vergi'!W11-SUM(W13:W38))),0)</f>
        <v/>
      </c>
      <c r="X39" s="18">
        <f>IF(AND('Zaman'!X9&gt;27,'Zaman'!X9-27&lt;=5),MIN(INDEX('Vergi'!$F$10:$AR$10,MATCH(27,'Zaman'!$F$9:$AR$9,0))-SUM(F39:W39),MAX(0,'Vergi'!X11-SUM(X13:X38))),0)</f>
        <v/>
      </c>
      <c r="Y39" s="18">
        <f>IF(AND('Zaman'!Y9&gt;27,'Zaman'!Y9-27&lt;=5),MIN(INDEX('Vergi'!$F$10:$AR$10,MATCH(27,'Zaman'!$F$9:$AR$9,0))-SUM(F39:X39),MAX(0,'Vergi'!Y11-SUM(Y13:Y38))),0)</f>
        <v/>
      </c>
      <c r="Z39" s="18">
        <f>IF(AND('Zaman'!Z9&gt;27,'Zaman'!Z9-27&lt;=5),MIN(INDEX('Vergi'!$F$10:$AR$10,MATCH(27,'Zaman'!$F$9:$AR$9,0))-SUM(F39:Y39),MAX(0,'Vergi'!Z11-SUM(Z13:Z38))),0)</f>
        <v/>
      </c>
      <c r="AA39" s="18">
        <f>IF(AND('Zaman'!AA9&gt;27,'Zaman'!AA9-27&lt;=5),MIN(INDEX('Vergi'!$F$10:$AR$10,MATCH(27,'Zaman'!$F$9:$AR$9,0))-SUM(F39:Z39),MAX(0,'Vergi'!AA11-SUM(AA13:AA38))),0)</f>
        <v/>
      </c>
      <c r="AB39" s="18">
        <f>IF(AND('Zaman'!AB9&gt;27,'Zaman'!AB9-27&lt;=5),MIN(INDEX('Vergi'!$F$10:$AR$10,MATCH(27,'Zaman'!$F$9:$AR$9,0))-SUM(F39:AA39),MAX(0,'Vergi'!AB11-SUM(AB13:AB38))),0)</f>
        <v/>
      </c>
      <c r="AC39" s="18">
        <f>IF(AND('Zaman'!AC9&gt;27,'Zaman'!AC9-27&lt;=5),MIN(INDEX('Vergi'!$F$10:$AR$10,MATCH(27,'Zaman'!$F$9:$AR$9,0))-SUM(F39:AB39),MAX(0,'Vergi'!AC11-SUM(AC13:AC38))),0)</f>
        <v/>
      </c>
      <c r="AD39" s="18">
        <f>IF(AND('Zaman'!AD9&gt;27,'Zaman'!AD9-27&lt;=5),MIN(INDEX('Vergi'!$F$10:$AR$10,MATCH(27,'Zaman'!$F$9:$AR$9,0))-SUM(F39:AC39),MAX(0,'Vergi'!AD11-SUM(AD13:AD38))),0)</f>
        <v/>
      </c>
      <c r="AE39" s="18">
        <f>IF(AND('Zaman'!AE9&gt;27,'Zaman'!AE9-27&lt;=5),MIN(INDEX('Vergi'!$F$10:$AR$10,MATCH(27,'Zaman'!$F$9:$AR$9,0))-SUM(F39:AD39),MAX(0,'Vergi'!AE11-SUM(AE13:AE38))),0)</f>
        <v/>
      </c>
      <c r="AF39" s="18">
        <f>IF(AND('Zaman'!AF9&gt;27,'Zaman'!AF9-27&lt;=5),MIN(INDEX('Vergi'!$F$10:$AR$10,MATCH(27,'Zaman'!$F$9:$AR$9,0))-SUM(F39:AE39),MAX(0,'Vergi'!AF11-SUM(AF13:AF38))),0)</f>
        <v/>
      </c>
      <c r="AG39" s="18">
        <f>IF(AND('Zaman'!AG9&gt;27,'Zaman'!AG9-27&lt;=5),MIN(INDEX('Vergi'!$F$10:$AR$10,MATCH(27,'Zaman'!$F$9:$AR$9,0))-SUM(F39:AF39),MAX(0,'Vergi'!AG11-SUM(AG13:AG38))),0)</f>
        <v/>
      </c>
      <c r="AH39" s="18">
        <f>IF(AND('Zaman'!AH9&gt;27,'Zaman'!AH9-27&lt;=5),MIN(INDEX('Vergi'!$F$10:$AR$10,MATCH(27,'Zaman'!$F$9:$AR$9,0))-SUM(F39:AG39),MAX(0,'Vergi'!AH11-SUM(AH13:AH38))),0)</f>
        <v/>
      </c>
      <c r="AI39" s="18">
        <f>IF(AND('Zaman'!AI9&gt;27,'Zaman'!AI9-27&lt;=5),MIN(INDEX('Vergi'!$F$10:$AR$10,MATCH(27,'Zaman'!$F$9:$AR$9,0))-SUM(F39:AH39),MAX(0,'Vergi'!AI11-SUM(AI13:AI38))),0)</f>
        <v/>
      </c>
      <c r="AJ39" s="18">
        <f>IF(AND('Zaman'!AJ9&gt;27,'Zaman'!AJ9-27&lt;=5),MIN(INDEX('Vergi'!$F$10:$AR$10,MATCH(27,'Zaman'!$F$9:$AR$9,0))-SUM(F39:AI39),MAX(0,'Vergi'!AJ11-SUM(AJ13:AJ38))),0)</f>
        <v/>
      </c>
      <c r="AK39" s="18">
        <f>IF(AND('Zaman'!AK9&gt;27,'Zaman'!AK9-27&lt;=5),MIN(INDEX('Vergi'!$F$10:$AR$10,MATCH(27,'Zaman'!$F$9:$AR$9,0))-SUM(F39:AJ39),MAX(0,'Vergi'!AK11-SUM(AK13:AK38))),0)</f>
        <v/>
      </c>
      <c r="AL39" s="18">
        <f>IF(AND('Zaman'!AL9&gt;27,'Zaman'!AL9-27&lt;=5),MIN(INDEX('Vergi'!$F$10:$AR$10,MATCH(27,'Zaman'!$F$9:$AR$9,0))-SUM(F39:AK39),MAX(0,'Vergi'!AL11-SUM(AL13:AL38))),0)</f>
        <v/>
      </c>
      <c r="AM39" s="18">
        <f>IF(AND('Zaman'!AM9&gt;27,'Zaman'!AM9-27&lt;=5),MIN(INDEX('Vergi'!$F$10:$AR$10,MATCH(27,'Zaman'!$F$9:$AR$9,0))-SUM(F39:AL39),MAX(0,'Vergi'!AM11-SUM(AM13:AM38))),0)</f>
        <v/>
      </c>
      <c r="AN39" s="18">
        <f>IF(AND('Zaman'!AN9&gt;27,'Zaman'!AN9-27&lt;=5),MIN(INDEX('Vergi'!$F$10:$AR$10,MATCH(27,'Zaman'!$F$9:$AR$9,0))-SUM(F39:AM39),MAX(0,'Vergi'!AN11-SUM(AN13:AN38))),0)</f>
        <v/>
      </c>
      <c r="AO39" s="18">
        <f>IF(AND('Zaman'!AO9&gt;27,'Zaman'!AO9-27&lt;=5),MIN(INDEX('Vergi'!$F$10:$AR$10,MATCH(27,'Zaman'!$F$9:$AR$9,0))-SUM(F39:AN39),MAX(0,'Vergi'!AO11-SUM(AO13:AO38))),0)</f>
        <v/>
      </c>
      <c r="AP39" s="18">
        <f>IF(AND('Zaman'!AP9&gt;27,'Zaman'!AP9-27&lt;=5),MIN(INDEX('Vergi'!$F$10:$AR$10,MATCH(27,'Zaman'!$F$9:$AR$9,0))-SUM(F39:AO39),MAX(0,'Vergi'!AP11-SUM(AP13:AP38))),0)</f>
        <v/>
      </c>
      <c r="AQ39" s="18">
        <f>IF(AND('Zaman'!AQ9&gt;27,'Zaman'!AQ9-27&lt;=5),MIN(INDEX('Vergi'!$F$10:$AR$10,MATCH(27,'Zaman'!$F$9:$AR$9,0))-SUM(F39:AP39),MAX(0,'Vergi'!AQ11-SUM(AQ13:AQ38))),0)</f>
        <v/>
      </c>
      <c r="AR39" s="18">
        <f>IF(AND('Zaman'!AR9&gt;27,'Zaman'!AR9-27&lt;=5),MIN(INDEX('Vergi'!$F$10:$AR$10,MATCH(27,'Zaman'!$F$9:$AR$9,0))-SUM(F39:AQ39),MAX(0,'Vergi'!AR11-SUM(AR13:AR38))),0)</f>
        <v/>
      </c>
    </row>
    <row r="40">
      <c r="A40" t="inlineStr">
        <is>
          <t>Zarar yılı 28 — kullanım</t>
        </is>
      </c>
      <c r="B40" t="inlineStr">
        <is>
          <t>USD</t>
        </is>
      </c>
      <c r="F40" s="18">
        <f>IF(AND('Zaman'!F9&gt;28,'Zaman'!F9-28&lt;=5),MIN(INDEX('Vergi'!$F$10:$AR$10,MATCH(28,'Zaman'!$F$9:$AR$9,0))-0,MAX(0,'Vergi'!F11-SUM(F13:F39))),0)</f>
        <v/>
      </c>
      <c r="G40" s="18">
        <f>IF(AND('Zaman'!G9&gt;28,'Zaman'!G9-28&lt;=5),MIN(INDEX('Vergi'!$F$10:$AR$10,MATCH(28,'Zaman'!$F$9:$AR$9,0))-SUM(F40:F40),MAX(0,'Vergi'!G11-SUM(G13:G39))),0)</f>
        <v/>
      </c>
      <c r="H40" s="18">
        <f>IF(AND('Zaman'!H9&gt;28,'Zaman'!H9-28&lt;=5),MIN(INDEX('Vergi'!$F$10:$AR$10,MATCH(28,'Zaman'!$F$9:$AR$9,0))-SUM(F40:G40),MAX(0,'Vergi'!H11-SUM(H13:H39))),0)</f>
        <v/>
      </c>
      <c r="I40" s="18">
        <f>IF(AND('Zaman'!I9&gt;28,'Zaman'!I9-28&lt;=5),MIN(INDEX('Vergi'!$F$10:$AR$10,MATCH(28,'Zaman'!$F$9:$AR$9,0))-SUM(F40:H40),MAX(0,'Vergi'!I11-SUM(I13:I39))),0)</f>
        <v/>
      </c>
      <c r="J40" s="18">
        <f>IF(AND('Zaman'!J9&gt;28,'Zaman'!J9-28&lt;=5),MIN(INDEX('Vergi'!$F$10:$AR$10,MATCH(28,'Zaman'!$F$9:$AR$9,0))-SUM(F40:I40),MAX(0,'Vergi'!J11-SUM(J13:J39))),0)</f>
        <v/>
      </c>
      <c r="K40" s="18">
        <f>IF(AND('Zaman'!K9&gt;28,'Zaman'!K9-28&lt;=5),MIN(INDEX('Vergi'!$F$10:$AR$10,MATCH(28,'Zaman'!$F$9:$AR$9,0))-SUM(F40:J40),MAX(0,'Vergi'!K11-SUM(K13:K39))),0)</f>
        <v/>
      </c>
      <c r="L40" s="18">
        <f>IF(AND('Zaman'!L9&gt;28,'Zaman'!L9-28&lt;=5),MIN(INDEX('Vergi'!$F$10:$AR$10,MATCH(28,'Zaman'!$F$9:$AR$9,0))-SUM(F40:K40),MAX(0,'Vergi'!L11-SUM(L13:L39))),0)</f>
        <v/>
      </c>
      <c r="M40" s="18">
        <f>IF(AND('Zaman'!M9&gt;28,'Zaman'!M9-28&lt;=5),MIN(INDEX('Vergi'!$F$10:$AR$10,MATCH(28,'Zaman'!$F$9:$AR$9,0))-SUM(F40:L40),MAX(0,'Vergi'!M11-SUM(M13:M39))),0)</f>
        <v/>
      </c>
      <c r="N40" s="18">
        <f>IF(AND('Zaman'!N9&gt;28,'Zaman'!N9-28&lt;=5),MIN(INDEX('Vergi'!$F$10:$AR$10,MATCH(28,'Zaman'!$F$9:$AR$9,0))-SUM(F40:M40),MAX(0,'Vergi'!N11-SUM(N13:N39))),0)</f>
        <v/>
      </c>
      <c r="O40" s="18">
        <f>IF(AND('Zaman'!O9&gt;28,'Zaman'!O9-28&lt;=5),MIN(INDEX('Vergi'!$F$10:$AR$10,MATCH(28,'Zaman'!$F$9:$AR$9,0))-SUM(F40:N40),MAX(0,'Vergi'!O11-SUM(O13:O39))),0)</f>
        <v/>
      </c>
      <c r="P40" s="18">
        <f>IF(AND('Zaman'!P9&gt;28,'Zaman'!P9-28&lt;=5),MIN(INDEX('Vergi'!$F$10:$AR$10,MATCH(28,'Zaman'!$F$9:$AR$9,0))-SUM(F40:O40),MAX(0,'Vergi'!P11-SUM(P13:P39))),0)</f>
        <v/>
      </c>
      <c r="Q40" s="18">
        <f>IF(AND('Zaman'!Q9&gt;28,'Zaman'!Q9-28&lt;=5),MIN(INDEX('Vergi'!$F$10:$AR$10,MATCH(28,'Zaman'!$F$9:$AR$9,0))-SUM(F40:P40),MAX(0,'Vergi'!Q11-SUM(Q13:Q39))),0)</f>
        <v/>
      </c>
      <c r="R40" s="18">
        <f>IF(AND('Zaman'!R9&gt;28,'Zaman'!R9-28&lt;=5),MIN(INDEX('Vergi'!$F$10:$AR$10,MATCH(28,'Zaman'!$F$9:$AR$9,0))-SUM(F40:Q40),MAX(0,'Vergi'!R11-SUM(R13:R39))),0)</f>
        <v/>
      </c>
      <c r="S40" s="18">
        <f>IF(AND('Zaman'!S9&gt;28,'Zaman'!S9-28&lt;=5),MIN(INDEX('Vergi'!$F$10:$AR$10,MATCH(28,'Zaman'!$F$9:$AR$9,0))-SUM(F40:R40),MAX(0,'Vergi'!S11-SUM(S13:S39))),0)</f>
        <v/>
      </c>
      <c r="T40" s="18">
        <f>IF(AND('Zaman'!T9&gt;28,'Zaman'!T9-28&lt;=5),MIN(INDEX('Vergi'!$F$10:$AR$10,MATCH(28,'Zaman'!$F$9:$AR$9,0))-SUM(F40:S40),MAX(0,'Vergi'!T11-SUM(T13:T39))),0)</f>
        <v/>
      </c>
      <c r="U40" s="18">
        <f>IF(AND('Zaman'!U9&gt;28,'Zaman'!U9-28&lt;=5),MIN(INDEX('Vergi'!$F$10:$AR$10,MATCH(28,'Zaman'!$F$9:$AR$9,0))-SUM(F40:T40),MAX(0,'Vergi'!U11-SUM(U13:U39))),0)</f>
        <v/>
      </c>
      <c r="V40" s="18">
        <f>IF(AND('Zaman'!V9&gt;28,'Zaman'!V9-28&lt;=5),MIN(INDEX('Vergi'!$F$10:$AR$10,MATCH(28,'Zaman'!$F$9:$AR$9,0))-SUM(F40:U40),MAX(0,'Vergi'!V11-SUM(V13:V39))),0)</f>
        <v/>
      </c>
      <c r="W40" s="18">
        <f>IF(AND('Zaman'!W9&gt;28,'Zaman'!W9-28&lt;=5),MIN(INDEX('Vergi'!$F$10:$AR$10,MATCH(28,'Zaman'!$F$9:$AR$9,0))-SUM(F40:V40),MAX(0,'Vergi'!W11-SUM(W13:W39))),0)</f>
        <v/>
      </c>
      <c r="X40" s="18">
        <f>IF(AND('Zaman'!X9&gt;28,'Zaman'!X9-28&lt;=5),MIN(INDEX('Vergi'!$F$10:$AR$10,MATCH(28,'Zaman'!$F$9:$AR$9,0))-SUM(F40:W40),MAX(0,'Vergi'!X11-SUM(X13:X39))),0)</f>
        <v/>
      </c>
      <c r="Y40" s="18">
        <f>IF(AND('Zaman'!Y9&gt;28,'Zaman'!Y9-28&lt;=5),MIN(INDEX('Vergi'!$F$10:$AR$10,MATCH(28,'Zaman'!$F$9:$AR$9,0))-SUM(F40:X40),MAX(0,'Vergi'!Y11-SUM(Y13:Y39))),0)</f>
        <v/>
      </c>
      <c r="Z40" s="18">
        <f>IF(AND('Zaman'!Z9&gt;28,'Zaman'!Z9-28&lt;=5),MIN(INDEX('Vergi'!$F$10:$AR$10,MATCH(28,'Zaman'!$F$9:$AR$9,0))-SUM(F40:Y40),MAX(0,'Vergi'!Z11-SUM(Z13:Z39))),0)</f>
        <v/>
      </c>
      <c r="AA40" s="18">
        <f>IF(AND('Zaman'!AA9&gt;28,'Zaman'!AA9-28&lt;=5),MIN(INDEX('Vergi'!$F$10:$AR$10,MATCH(28,'Zaman'!$F$9:$AR$9,0))-SUM(F40:Z40),MAX(0,'Vergi'!AA11-SUM(AA13:AA39))),0)</f>
        <v/>
      </c>
      <c r="AB40" s="18">
        <f>IF(AND('Zaman'!AB9&gt;28,'Zaman'!AB9-28&lt;=5),MIN(INDEX('Vergi'!$F$10:$AR$10,MATCH(28,'Zaman'!$F$9:$AR$9,0))-SUM(F40:AA40),MAX(0,'Vergi'!AB11-SUM(AB13:AB39))),0)</f>
        <v/>
      </c>
      <c r="AC40" s="18">
        <f>IF(AND('Zaman'!AC9&gt;28,'Zaman'!AC9-28&lt;=5),MIN(INDEX('Vergi'!$F$10:$AR$10,MATCH(28,'Zaman'!$F$9:$AR$9,0))-SUM(F40:AB40),MAX(0,'Vergi'!AC11-SUM(AC13:AC39))),0)</f>
        <v/>
      </c>
      <c r="AD40" s="18">
        <f>IF(AND('Zaman'!AD9&gt;28,'Zaman'!AD9-28&lt;=5),MIN(INDEX('Vergi'!$F$10:$AR$10,MATCH(28,'Zaman'!$F$9:$AR$9,0))-SUM(F40:AC40),MAX(0,'Vergi'!AD11-SUM(AD13:AD39))),0)</f>
        <v/>
      </c>
      <c r="AE40" s="18">
        <f>IF(AND('Zaman'!AE9&gt;28,'Zaman'!AE9-28&lt;=5),MIN(INDEX('Vergi'!$F$10:$AR$10,MATCH(28,'Zaman'!$F$9:$AR$9,0))-SUM(F40:AD40),MAX(0,'Vergi'!AE11-SUM(AE13:AE39))),0)</f>
        <v/>
      </c>
      <c r="AF40" s="18">
        <f>IF(AND('Zaman'!AF9&gt;28,'Zaman'!AF9-28&lt;=5),MIN(INDEX('Vergi'!$F$10:$AR$10,MATCH(28,'Zaman'!$F$9:$AR$9,0))-SUM(F40:AE40),MAX(0,'Vergi'!AF11-SUM(AF13:AF39))),0)</f>
        <v/>
      </c>
      <c r="AG40" s="18">
        <f>IF(AND('Zaman'!AG9&gt;28,'Zaman'!AG9-28&lt;=5),MIN(INDEX('Vergi'!$F$10:$AR$10,MATCH(28,'Zaman'!$F$9:$AR$9,0))-SUM(F40:AF40),MAX(0,'Vergi'!AG11-SUM(AG13:AG39))),0)</f>
        <v/>
      </c>
      <c r="AH40" s="18">
        <f>IF(AND('Zaman'!AH9&gt;28,'Zaman'!AH9-28&lt;=5),MIN(INDEX('Vergi'!$F$10:$AR$10,MATCH(28,'Zaman'!$F$9:$AR$9,0))-SUM(F40:AG40),MAX(0,'Vergi'!AH11-SUM(AH13:AH39))),0)</f>
        <v/>
      </c>
      <c r="AI40" s="18">
        <f>IF(AND('Zaman'!AI9&gt;28,'Zaman'!AI9-28&lt;=5),MIN(INDEX('Vergi'!$F$10:$AR$10,MATCH(28,'Zaman'!$F$9:$AR$9,0))-SUM(F40:AH40),MAX(0,'Vergi'!AI11-SUM(AI13:AI39))),0)</f>
        <v/>
      </c>
      <c r="AJ40" s="18">
        <f>IF(AND('Zaman'!AJ9&gt;28,'Zaman'!AJ9-28&lt;=5),MIN(INDEX('Vergi'!$F$10:$AR$10,MATCH(28,'Zaman'!$F$9:$AR$9,0))-SUM(F40:AI40),MAX(0,'Vergi'!AJ11-SUM(AJ13:AJ39))),0)</f>
        <v/>
      </c>
      <c r="AK40" s="18">
        <f>IF(AND('Zaman'!AK9&gt;28,'Zaman'!AK9-28&lt;=5),MIN(INDEX('Vergi'!$F$10:$AR$10,MATCH(28,'Zaman'!$F$9:$AR$9,0))-SUM(F40:AJ40),MAX(0,'Vergi'!AK11-SUM(AK13:AK39))),0)</f>
        <v/>
      </c>
      <c r="AL40" s="18">
        <f>IF(AND('Zaman'!AL9&gt;28,'Zaman'!AL9-28&lt;=5),MIN(INDEX('Vergi'!$F$10:$AR$10,MATCH(28,'Zaman'!$F$9:$AR$9,0))-SUM(F40:AK40),MAX(0,'Vergi'!AL11-SUM(AL13:AL39))),0)</f>
        <v/>
      </c>
      <c r="AM40" s="18">
        <f>IF(AND('Zaman'!AM9&gt;28,'Zaman'!AM9-28&lt;=5),MIN(INDEX('Vergi'!$F$10:$AR$10,MATCH(28,'Zaman'!$F$9:$AR$9,0))-SUM(F40:AL40),MAX(0,'Vergi'!AM11-SUM(AM13:AM39))),0)</f>
        <v/>
      </c>
      <c r="AN40" s="18">
        <f>IF(AND('Zaman'!AN9&gt;28,'Zaman'!AN9-28&lt;=5),MIN(INDEX('Vergi'!$F$10:$AR$10,MATCH(28,'Zaman'!$F$9:$AR$9,0))-SUM(F40:AM40),MAX(0,'Vergi'!AN11-SUM(AN13:AN39))),0)</f>
        <v/>
      </c>
      <c r="AO40" s="18">
        <f>IF(AND('Zaman'!AO9&gt;28,'Zaman'!AO9-28&lt;=5),MIN(INDEX('Vergi'!$F$10:$AR$10,MATCH(28,'Zaman'!$F$9:$AR$9,0))-SUM(F40:AN40),MAX(0,'Vergi'!AO11-SUM(AO13:AO39))),0)</f>
        <v/>
      </c>
      <c r="AP40" s="18">
        <f>IF(AND('Zaman'!AP9&gt;28,'Zaman'!AP9-28&lt;=5),MIN(INDEX('Vergi'!$F$10:$AR$10,MATCH(28,'Zaman'!$F$9:$AR$9,0))-SUM(F40:AO40),MAX(0,'Vergi'!AP11-SUM(AP13:AP39))),0)</f>
        <v/>
      </c>
      <c r="AQ40" s="18">
        <f>IF(AND('Zaman'!AQ9&gt;28,'Zaman'!AQ9-28&lt;=5),MIN(INDEX('Vergi'!$F$10:$AR$10,MATCH(28,'Zaman'!$F$9:$AR$9,0))-SUM(F40:AP40),MAX(0,'Vergi'!AQ11-SUM(AQ13:AQ39))),0)</f>
        <v/>
      </c>
      <c r="AR40" s="18">
        <f>IF(AND('Zaman'!AR9&gt;28,'Zaman'!AR9-28&lt;=5),MIN(INDEX('Vergi'!$F$10:$AR$10,MATCH(28,'Zaman'!$F$9:$AR$9,0))-SUM(F40:AQ40),MAX(0,'Vergi'!AR11-SUM(AR13:AR39))),0)</f>
        <v/>
      </c>
    </row>
    <row r="41">
      <c r="A41" t="inlineStr">
        <is>
          <t>Zarar yılı 29 — kullanım</t>
        </is>
      </c>
      <c r="B41" t="inlineStr">
        <is>
          <t>USD</t>
        </is>
      </c>
      <c r="F41" s="18">
        <f>IF(AND('Zaman'!F9&gt;29,'Zaman'!F9-29&lt;=5),MIN(INDEX('Vergi'!$F$10:$AR$10,MATCH(29,'Zaman'!$F$9:$AR$9,0))-0,MAX(0,'Vergi'!F11-SUM(F13:F40))),0)</f>
        <v/>
      </c>
      <c r="G41" s="18">
        <f>IF(AND('Zaman'!G9&gt;29,'Zaman'!G9-29&lt;=5),MIN(INDEX('Vergi'!$F$10:$AR$10,MATCH(29,'Zaman'!$F$9:$AR$9,0))-SUM(F41:F41),MAX(0,'Vergi'!G11-SUM(G13:G40))),0)</f>
        <v/>
      </c>
      <c r="H41" s="18">
        <f>IF(AND('Zaman'!H9&gt;29,'Zaman'!H9-29&lt;=5),MIN(INDEX('Vergi'!$F$10:$AR$10,MATCH(29,'Zaman'!$F$9:$AR$9,0))-SUM(F41:G41),MAX(0,'Vergi'!H11-SUM(H13:H40))),0)</f>
        <v/>
      </c>
      <c r="I41" s="18">
        <f>IF(AND('Zaman'!I9&gt;29,'Zaman'!I9-29&lt;=5),MIN(INDEX('Vergi'!$F$10:$AR$10,MATCH(29,'Zaman'!$F$9:$AR$9,0))-SUM(F41:H41),MAX(0,'Vergi'!I11-SUM(I13:I40))),0)</f>
        <v/>
      </c>
      <c r="J41" s="18">
        <f>IF(AND('Zaman'!J9&gt;29,'Zaman'!J9-29&lt;=5),MIN(INDEX('Vergi'!$F$10:$AR$10,MATCH(29,'Zaman'!$F$9:$AR$9,0))-SUM(F41:I41),MAX(0,'Vergi'!J11-SUM(J13:J40))),0)</f>
        <v/>
      </c>
      <c r="K41" s="18">
        <f>IF(AND('Zaman'!K9&gt;29,'Zaman'!K9-29&lt;=5),MIN(INDEX('Vergi'!$F$10:$AR$10,MATCH(29,'Zaman'!$F$9:$AR$9,0))-SUM(F41:J41),MAX(0,'Vergi'!K11-SUM(K13:K40))),0)</f>
        <v/>
      </c>
      <c r="L41" s="18">
        <f>IF(AND('Zaman'!L9&gt;29,'Zaman'!L9-29&lt;=5),MIN(INDEX('Vergi'!$F$10:$AR$10,MATCH(29,'Zaman'!$F$9:$AR$9,0))-SUM(F41:K41),MAX(0,'Vergi'!L11-SUM(L13:L40))),0)</f>
        <v/>
      </c>
      <c r="M41" s="18">
        <f>IF(AND('Zaman'!M9&gt;29,'Zaman'!M9-29&lt;=5),MIN(INDEX('Vergi'!$F$10:$AR$10,MATCH(29,'Zaman'!$F$9:$AR$9,0))-SUM(F41:L41),MAX(0,'Vergi'!M11-SUM(M13:M40))),0)</f>
        <v/>
      </c>
      <c r="N41" s="18">
        <f>IF(AND('Zaman'!N9&gt;29,'Zaman'!N9-29&lt;=5),MIN(INDEX('Vergi'!$F$10:$AR$10,MATCH(29,'Zaman'!$F$9:$AR$9,0))-SUM(F41:M41),MAX(0,'Vergi'!N11-SUM(N13:N40))),0)</f>
        <v/>
      </c>
      <c r="O41" s="18">
        <f>IF(AND('Zaman'!O9&gt;29,'Zaman'!O9-29&lt;=5),MIN(INDEX('Vergi'!$F$10:$AR$10,MATCH(29,'Zaman'!$F$9:$AR$9,0))-SUM(F41:N41),MAX(0,'Vergi'!O11-SUM(O13:O40))),0)</f>
        <v/>
      </c>
      <c r="P41" s="18">
        <f>IF(AND('Zaman'!P9&gt;29,'Zaman'!P9-29&lt;=5),MIN(INDEX('Vergi'!$F$10:$AR$10,MATCH(29,'Zaman'!$F$9:$AR$9,0))-SUM(F41:O41),MAX(0,'Vergi'!P11-SUM(P13:P40))),0)</f>
        <v/>
      </c>
      <c r="Q41" s="18">
        <f>IF(AND('Zaman'!Q9&gt;29,'Zaman'!Q9-29&lt;=5),MIN(INDEX('Vergi'!$F$10:$AR$10,MATCH(29,'Zaman'!$F$9:$AR$9,0))-SUM(F41:P41),MAX(0,'Vergi'!Q11-SUM(Q13:Q40))),0)</f>
        <v/>
      </c>
      <c r="R41" s="18">
        <f>IF(AND('Zaman'!R9&gt;29,'Zaman'!R9-29&lt;=5),MIN(INDEX('Vergi'!$F$10:$AR$10,MATCH(29,'Zaman'!$F$9:$AR$9,0))-SUM(F41:Q41),MAX(0,'Vergi'!R11-SUM(R13:R40))),0)</f>
        <v/>
      </c>
      <c r="S41" s="18">
        <f>IF(AND('Zaman'!S9&gt;29,'Zaman'!S9-29&lt;=5),MIN(INDEX('Vergi'!$F$10:$AR$10,MATCH(29,'Zaman'!$F$9:$AR$9,0))-SUM(F41:R41),MAX(0,'Vergi'!S11-SUM(S13:S40))),0)</f>
        <v/>
      </c>
      <c r="T41" s="18">
        <f>IF(AND('Zaman'!T9&gt;29,'Zaman'!T9-29&lt;=5),MIN(INDEX('Vergi'!$F$10:$AR$10,MATCH(29,'Zaman'!$F$9:$AR$9,0))-SUM(F41:S41),MAX(0,'Vergi'!T11-SUM(T13:T40))),0)</f>
        <v/>
      </c>
      <c r="U41" s="18">
        <f>IF(AND('Zaman'!U9&gt;29,'Zaman'!U9-29&lt;=5),MIN(INDEX('Vergi'!$F$10:$AR$10,MATCH(29,'Zaman'!$F$9:$AR$9,0))-SUM(F41:T41),MAX(0,'Vergi'!U11-SUM(U13:U40))),0)</f>
        <v/>
      </c>
      <c r="V41" s="18">
        <f>IF(AND('Zaman'!V9&gt;29,'Zaman'!V9-29&lt;=5),MIN(INDEX('Vergi'!$F$10:$AR$10,MATCH(29,'Zaman'!$F$9:$AR$9,0))-SUM(F41:U41),MAX(0,'Vergi'!V11-SUM(V13:V40))),0)</f>
        <v/>
      </c>
      <c r="W41" s="18">
        <f>IF(AND('Zaman'!W9&gt;29,'Zaman'!W9-29&lt;=5),MIN(INDEX('Vergi'!$F$10:$AR$10,MATCH(29,'Zaman'!$F$9:$AR$9,0))-SUM(F41:V41),MAX(0,'Vergi'!W11-SUM(W13:W40))),0)</f>
        <v/>
      </c>
      <c r="X41" s="18">
        <f>IF(AND('Zaman'!X9&gt;29,'Zaman'!X9-29&lt;=5),MIN(INDEX('Vergi'!$F$10:$AR$10,MATCH(29,'Zaman'!$F$9:$AR$9,0))-SUM(F41:W41),MAX(0,'Vergi'!X11-SUM(X13:X40))),0)</f>
        <v/>
      </c>
      <c r="Y41" s="18">
        <f>IF(AND('Zaman'!Y9&gt;29,'Zaman'!Y9-29&lt;=5),MIN(INDEX('Vergi'!$F$10:$AR$10,MATCH(29,'Zaman'!$F$9:$AR$9,0))-SUM(F41:X41),MAX(0,'Vergi'!Y11-SUM(Y13:Y40))),0)</f>
        <v/>
      </c>
      <c r="Z41" s="18">
        <f>IF(AND('Zaman'!Z9&gt;29,'Zaman'!Z9-29&lt;=5),MIN(INDEX('Vergi'!$F$10:$AR$10,MATCH(29,'Zaman'!$F$9:$AR$9,0))-SUM(F41:Y41),MAX(0,'Vergi'!Z11-SUM(Z13:Z40))),0)</f>
        <v/>
      </c>
      <c r="AA41" s="18">
        <f>IF(AND('Zaman'!AA9&gt;29,'Zaman'!AA9-29&lt;=5),MIN(INDEX('Vergi'!$F$10:$AR$10,MATCH(29,'Zaman'!$F$9:$AR$9,0))-SUM(F41:Z41),MAX(0,'Vergi'!AA11-SUM(AA13:AA40))),0)</f>
        <v/>
      </c>
      <c r="AB41" s="18">
        <f>IF(AND('Zaman'!AB9&gt;29,'Zaman'!AB9-29&lt;=5),MIN(INDEX('Vergi'!$F$10:$AR$10,MATCH(29,'Zaman'!$F$9:$AR$9,0))-SUM(F41:AA41),MAX(0,'Vergi'!AB11-SUM(AB13:AB40))),0)</f>
        <v/>
      </c>
      <c r="AC41" s="18">
        <f>IF(AND('Zaman'!AC9&gt;29,'Zaman'!AC9-29&lt;=5),MIN(INDEX('Vergi'!$F$10:$AR$10,MATCH(29,'Zaman'!$F$9:$AR$9,0))-SUM(F41:AB41),MAX(0,'Vergi'!AC11-SUM(AC13:AC40))),0)</f>
        <v/>
      </c>
      <c r="AD41" s="18">
        <f>IF(AND('Zaman'!AD9&gt;29,'Zaman'!AD9-29&lt;=5),MIN(INDEX('Vergi'!$F$10:$AR$10,MATCH(29,'Zaman'!$F$9:$AR$9,0))-SUM(F41:AC41),MAX(0,'Vergi'!AD11-SUM(AD13:AD40))),0)</f>
        <v/>
      </c>
      <c r="AE41" s="18">
        <f>IF(AND('Zaman'!AE9&gt;29,'Zaman'!AE9-29&lt;=5),MIN(INDEX('Vergi'!$F$10:$AR$10,MATCH(29,'Zaman'!$F$9:$AR$9,0))-SUM(F41:AD41),MAX(0,'Vergi'!AE11-SUM(AE13:AE40))),0)</f>
        <v/>
      </c>
      <c r="AF41" s="18">
        <f>IF(AND('Zaman'!AF9&gt;29,'Zaman'!AF9-29&lt;=5),MIN(INDEX('Vergi'!$F$10:$AR$10,MATCH(29,'Zaman'!$F$9:$AR$9,0))-SUM(F41:AE41),MAX(0,'Vergi'!AF11-SUM(AF13:AF40))),0)</f>
        <v/>
      </c>
      <c r="AG41" s="18">
        <f>IF(AND('Zaman'!AG9&gt;29,'Zaman'!AG9-29&lt;=5),MIN(INDEX('Vergi'!$F$10:$AR$10,MATCH(29,'Zaman'!$F$9:$AR$9,0))-SUM(F41:AF41),MAX(0,'Vergi'!AG11-SUM(AG13:AG40))),0)</f>
        <v/>
      </c>
      <c r="AH41" s="18">
        <f>IF(AND('Zaman'!AH9&gt;29,'Zaman'!AH9-29&lt;=5),MIN(INDEX('Vergi'!$F$10:$AR$10,MATCH(29,'Zaman'!$F$9:$AR$9,0))-SUM(F41:AG41),MAX(0,'Vergi'!AH11-SUM(AH13:AH40))),0)</f>
        <v/>
      </c>
      <c r="AI41" s="18">
        <f>IF(AND('Zaman'!AI9&gt;29,'Zaman'!AI9-29&lt;=5),MIN(INDEX('Vergi'!$F$10:$AR$10,MATCH(29,'Zaman'!$F$9:$AR$9,0))-SUM(F41:AH41),MAX(0,'Vergi'!AI11-SUM(AI13:AI40))),0)</f>
        <v/>
      </c>
      <c r="AJ41" s="18">
        <f>IF(AND('Zaman'!AJ9&gt;29,'Zaman'!AJ9-29&lt;=5),MIN(INDEX('Vergi'!$F$10:$AR$10,MATCH(29,'Zaman'!$F$9:$AR$9,0))-SUM(F41:AI41),MAX(0,'Vergi'!AJ11-SUM(AJ13:AJ40))),0)</f>
        <v/>
      </c>
      <c r="AK41" s="18">
        <f>IF(AND('Zaman'!AK9&gt;29,'Zaman'!AK9-29&lt;=5),MIN(INDEX('Vergi'!$F$10:$AR$10,MATCH(29,'Zaman'!$F$9:$AR$9,0))-SUM(F41:AJ41),MAX(0,'Vergi'!AK11-SUM(AK13:AK40))),0)</f>
        <v/>
      </c>
      <c r="AL41" s="18">
        <f>IF(AND('Zaman'!AL9&gt;29,'Zaman'!AL9-29&lt;=5),MIN(INDEX('Vergi'!$F$10:$AR$10,MATCH(29,'Zaman'!$F$9:$AR$9,0))-SUM(F41:AK41),MAX(0,'Vergi'!AL11-SUM(AL13:AL40))),0)</f>
        <v/>
      </c>
      <c r="AM41" s="18">
        <f>IF(AND('Zaman'!AM9&gt;29,'Zaman'!AM9-29&lt;=5),MIN(INDEX('Vergi'!$F$10:$AR$10,MATCH(29,'Zaman'!$F$9:$AR$9,0))-SUM(F41:AL41),MAX(0,'Vergi'!AM11-SUM(AM13:AM40))),0)</f>
        <v/>
      </c>
      <c r="AN41" s="18">
        <f>IF(AND('Zaman'!AN9&gt;29,'Zaman'!AN9-29&lt;=5),MIN(INDEX('Vergi'!$F$10:$AR$10,MATCH(29,'Zaman'!$F$9:$AR$9,0))-SUM(F41:AM41),MAX(0,'Vergi'!AN11-SUM(AN13:AN40))),0)</f>
        <v/>
      </c>
      <c r="AO41" s="18">
        <f>IF(AND('Zaman'!AO9&gt;29,'Zaman'!AO9-29&lt;=5),MIN(INDEX('Vergi'!$F$10:$AR$10,MATCH(29,'Zaman'!$F$9:$AR$9,0))-SUM(F41:AN41),MAX(0,'Vergi'!AO11-SUM(AO13:AO40))),0)</f>
        <v/>
      </c>
      <c r="AP41" s="18">
        <f>IF(AND('Zaman'!AP9&gt;29,'Zaman'!AP9-29&lt;=5),MIN(INDEX('Vergi'!$F$10:$AR$10,MATCH(29,'Zaman'!$F$9:$AR$9,0))-SUM(F41:AO41),MAX(0,'Vergi'!AP11-SUM(AP13:AP40))),0)</f>
        <v/>
      </c>
      <c r="AQ41" s="18">
        <f>IF(AND('Zaman'!AQ9&gt;29,'Zaman'!AQ9-29&lt;=5),MIN(INDEX('Vergi'!$F$10:$AR$10,MATCH(29,'Zaman'!$F$9:$AR$9,0))-SUM(F41:AP41),MAX(0,'Vergi'!AQ11-SUM(AQ13:AQ40))),0)</f>
        <v/>
      </c>
      <c r="AR41" s="18">
        <f>IF(AND('Zaman'!AR9&gt;29,'Zaman'!AR9-29&lt;=5),MIN(INDEX('Vergi'!$F$10:$AR$10,MATCH(29,'Zaman'!$F$9:$AR$9,0))-SUM(F41:AQ41),MAX(0,'Vergi'!AR11-SUM(AR13:AR40))),0)</f>
        <v/>
      </c>
    </row>
    <row r="42">
      <c r="A42" t="inlineStr">
        <is>
          <t>Zarar yılı 30 — kullanım</t>
        </is>
      </c>
      <c r="B42" t="inlineStr">
        <is>
          <t>USD</t>
        </is>
      </c>
      <c r="F42" s="18">
        <f>IF(AND('Zaman'!F9&gt;30,'Zaman'!F9-30&lt;=5),MIN(INDEX('Vergi'!$F$10:$AR$10,MATCH(30,'Zaman'!$F$9:$AR$9,0))-0,MAX(0,'Vergi'!F11-SUM(F13:F41))),0)</f>
        <v/>
      </c>
      <c r="G42" s="18">
        <f>IF(AND('Zaman'!G9&gt;30,'Zaman'!G9-30&lt;=5),MIN(INDEX('Vergi'!$F$10:$AR$10,MATCH(30,'Zaman'!$F$9:$AR$9,0))-SUM(F42:F42),MAX(0,'Vergi'!G11-SUM(G13:G41))),0)</f>
        <v/>
      </c>
      <c r="H42" s="18">
        <f>IF(AND('Zaman'!H9&gt;30,'Zaman'!H9-30&lt;=5),MIN(INDEX('Vergi'!$F$10:$AR$10,MATCH(30,'Zaman'!$F$9:$AR$9,0))-SUM(F42:G42),MAX(0,'Vergi'!H11-SUM(H13:H41))),0)</f>
        <v/>
      </c>
      <c r="I42" s="18">
        <f>IF(AND('Zaman'!I9&gt;30,'Zaman'!I9-30&lt;=5),MIN(INDEX('Vergi'!$F$10:$AR$10,MATCH(30,'Zaman'!$F$9:$AR$9,0))-SUM(F42:H42),MAX(0,'Vergi'!I11-SUM(I13:I41))),0)</f>
        <v/>
      </c>
      <c r="J42" s="18">
        <f>IF(AND('Zaman'!J9&gt;30,'Zaman'!J9-30&lt;=5),MIN(INDEX('Vergi'!$F$10:$AR$10,MATCH(30,'Zaman'!$F$9:$AR$9,0))-SUM(F42:I42),MAX(0,'Vergi'!J11-SUM(J13:J41))),0)</f>
        <v/>
      </c>
      <c r="K42" s="18">
        <f>IF(AND('Zaman'!K9&gt;30,'Zaman'!K9-30&lt;=5),MIN(INDEX('Vergi'!$F$10:$AR$10,MATCH(30,'Zaman'!$F$9:$AR$9,0))-SUM(F42:J42),MAX(0,'Vergi'!K11-SUM(K13:K41))),0)</f>
        <v/>
      </c>
      <c r="L42" s="18">
        <f>IF(AND('Zaman'!L9&gt;30,'Zaman'!L9-30&lt;=5),MIN(INDEX('Vergi'!$F$10:$AR$10,MATCH(30,'Zaman'!$F$9:$AR$9,0))-SUM(F42:K42),MAX(0,'Vergi'!L11-SUM(L13:L41))),0)</f>
        <v/>
      </c>
      <c r="M42" s="18">
        <f>IF(AND('Zaman'!M9&gt;30,'Zaman'!M9-30&lt;=5),MIN(INDEX('Vergi'!$F$10:$AR$10,MATCH(30,'Zaman'!$F$9:$AR$9,0))-SUM(F42:L42),MAX(0,'Vergi'!M11-SUM(M13:M41))),0)</f>
        <v/>
      </c>
      <c r="N42" s="18">
        <f>IF(AND('Zaman'!N9&gt;30,'Zaman'!N9-30&lt;=5),MIN(INDEX('Vergi'!$F$10:$AR$10,MATCH(30,'Zaman'!$F$9:$AR$9,0))-SUM(F42:M42),MAX(0,'Vergi'!N11-SUM(N13:N41))),0)</f>
        <v/>
      </c>
      <c r="O42" s="18">
        <f>IF(AND('Zaman'!O9&gt;30,'Zaman'!O9-30&lt;=5),MIN(INDEX('Vergi'!$F$10:$AR$10,MATCH(30,'Zaman'!$F$9:$AR$9,0))-SUM(F42:N42),MAX(0,'Vergi'!O11-SUM(O13:O41))),0)</f>
        <v/>
      </c>
      <c r="P42" s="18">
        <f>IF(AND('Zaman'!P9&gt;30,'Zaman'!P9-30&lt;=5),MIN(INDEX('Vergi'!$F$10:$AR$10,MATCH(30,'Zaman'!$F$9:$AR$9,0))-SUM(F42:O42),MAX(0,'Vergi'!P11-SUM(P13:P41))),0)</f>
        <v/>
      </c>
      <c r="Q42" s="18">
        <f>IF(AND('Zaman'!Q9&gt;30,'Zaman'!Q9-30&lt;=5),MIN(INDEX('Vergi'!$F$10:$AR$10,MATCH(30,'Zaman'!$F$9:$AR$9,0))-SUM(F42:P42),MAX(0,'Vergi'!Q11-SUM(Q13:Q41))),0)</f>
        <v/>
      </c>
      <c r="R42" s="18">
        <f>IF(AND('Zaman'!R9&gt;30,'Zaman'!R9-30&lt;=5),MIN(INDEX('Vergi'!$F$10:$AR$10,MATCH(30,'Zaman'!$F$9:$AR$9,0))-SUM(F42:Q42),MAX(0,'Vergi'!R11-SUM(R13:R41))),0)</f>
        <v/>
      </c>
      <c r="S42" s="18">
        <f>IF(AND('Zaman'!S9&gt;30,'Zaman'!S9-30&lt;=5),MIN(INDEX('Vergi'!$F$10:$AR$10,MATCH(30,'Zaman'!$F$9:$AR$9,0))-SUM(F42:R42),MAX(0,'Vergi'!S11-SUM(S13:S41))),0)</f>
        <v/>
      </c>
      <c r="T42" s="18">
        <f>IF(AND('Zaman'!T9&gt;30,'Zaman'!T9-30&lt;=5),MIN(INDEX('Vergi'!$F$10:$AR$10,MATCH(30,'Zaman'!$F$9:$AR$9,0))-SUM(F42:S42),MAX(0,'Vergi'!T11-SUM(T13:T41))),0)</f>
        <v/>
      </c>
      <c r="U42" s="18">
        <f>IF(AND('Zaman'!U9&gt;30,'Zaman'!U9-30&lt;=5),MIN(INDEX('Vergi'!$F$10:$AR$10,MATCH(30,'Zaman'!$F$9:$AR$9,0))-SUM(F42:T42),MAX(0,'Vergi'!U11-SUM(U13:U41))),0)</f>
        <v/>
      </c>
      <c r="V42" s="18">
        <f>IF(AND('Zaman'!V9&gt;30,'Zaman'!V9-30&lt;=5),MIN(INDEX('Vergi'!$F$10:$AR$10,MATCH(30,'Zaman'!$F$9:$AR$9,0))-SUM(F42:U42),MAX(0,'Vergi'!V11-SUM(V13:V41))),0)</f>
        <v/>
      </c>
      <c r="W42" s="18">
        <f>IF(AND('Zaman'!W9&gt;30,'Zaman'!W9-30&lt;=5),MIN(INDEX('Vergi'!$F$10:$AR$10,MATCH(30,'Zaman'!$F$9:$AR$9,0))-SUM(F42:V42),MAX(0,'Vergi'!W11-SUM(W13:W41))),0)</f>
        <v/>
      </c>
      <c r="X42" s="18">
        <f>IF(AND('Zaman'!X9&gt;30,'Zaman'!X9-30&lt;=5),MIN(INDEX('Vergi'!$F$10:$AR$10,MATCH(30,'Zaman'!$F$9:$AR$9,0))-SUM(F42:W42),MAX(0,'Vergi'!X11-SUM(X13:X41))),0)</f>
        <v/>
      </c>
      <c r="Y42" s="18">
        <f>IF(AND('Zaman'!Y9&gt;30,'Zaman'!Y9-30&lt;=5),MIN(INDEX('Vergi'!$F$10:$AR$10,MATCH(30,'Zaman'!$F$9:$AR$9,0))-SUM(F42:X42),MAX(0,'Vergi'!Y11-SUM(Y13:Y41))),0)</f>
        <v/>
      </c>
      <c r="Z42" s="18">
        <f>IF(AND('Zaman'!Z9&gt;30,'Zaman'!Z9-30&lt;=5),MIN(INDEX('Vergi'!$F$10:$AR$10,MATCH(30,'Zaman'!$F$9:$AR$9,0))-SUM(F42:Y42),MAX(0,'Vergi'!Z11-SUM(Z13:Z41))),0)</f>
        <v/>
      </c>
      <c r="AA42" s="18">
        <f>IF(AND('Zaman'!AA9&gt;30,'Zaman'!AA9-30&lt;=5),MIN(INDEX('Vergi'!$F$10:$AR$10,MATCH(30,'Zaman'!$F$9:$AR$9,0))-SUM(F42:Z42),MAX(0,'Vergi'!AA11-SUM(AA13:AA41))),0)</f>
        <v/>
      </c>
      <c r="AB42" s="18">
        <f>IF(AND('Zaman'!AB9&gt;30,'Zaman'!AB9-30&lt;=5),MIN(INDEX('Vergi'!$F$10:$AR$10,MATCH(30,'Zaman'!$F$9:$AR$9,0))-SUM(F42:AA42),MAX(0,'Vergi'!AB11-SUM(AB13:AB41))),0)</f>
        <v/>
      </c>
      <c r="AC42" s="18">
        <f>IF(AND('Zaman'!AC9&gt;30,'Zaman'!AC9-30&lt;=5),MIN(INDEX('Vergi'!$F$10:$AR$10,MATCH(30,'Zaman'!$F$9:$AR$9,0))-SUM(F42:AB42),MAX(0,'Vergi'!AC11-SUM(AC13:AC41))),0)</f>
        <v/>
      </c>
      <c r="AD42" s="18">
        <f>IF(AND('Zaman'!AD9&gt;30,'Zaman'!AD9-30&lt;=5),MIN(INDEX('Vergi'!$F$10:$AR$10,MATCH(30,'Zaman'!$F$9:$AR$9,0))-SUM(F42:AC42),MAX(0,'Vergi'!AD11-SUM(AD13:AD41))),0)</f>
        <v/>
      </c>
      <c r="AE42" s="18">
        <f>IF(AND('Zaman'!AE9&gt;30,'Zaman'!AE9-30&lt;=5),MIN(INDEX('Vergi'!$F$10:$AR$10,MATCH(30,'Zaman'!$F$9:$AR$9,0))-SUM(F42:AD42),MAX(0,'Vergi'!AE11-SUM(AE13:AE41))),0)</f>
        <v/>
      </c>
      <c r="AF42" s="18">
        <f>IF(AND('Zaman'!AF9&gt;30,'Zaman'!AF9-30&lt;=5),MIN(INDEX('Vergi'!$F$10:$AR$10,MATCH(30,'Zaman'!$F$9:$AR$9,0))-SUM(F42:AE42),MAX(0,'Vergi'!AF11-SUM(AF13:AF41))),0)</f>
        <v/>
      </c>
      <c r="AG42" s="18">
        <f>IF(AND('Zaman'!AG9&gt;30,'Zaman'!AG9-30&lt;=5),MIN(INDEX('Vergi'!$F$10:$AR$10,MATCH(30,'Zaman'!$F$9:$AR$9,0))-SUM(F42:AF42),MAX(0,'Vergi'!AG11-SUM(AG13:AG41))),0)</f>
        <v/>
      </c>
      <c r="AH42" s="18">
        <f>IF(AND('Zaman'!AH9&gt;30,'Zaman'!AH9-30&lt;=5),MIN(INDEX('Vergi'!$F$10:$AR$10,MATCH(30,'Zaman'!$F$9:$AR$9,0))-SUM(F42:AG42),MAX(0,'Vergi'!AH11-SUM(AH13:AH41))),0)</f>
        <v/>
      </c>
      <c r="AI42" s="18">
        <f>IF(AND('Zaman'!AI9&gt;30,'Zaman'!AI9-30&lt;=5),MIN(INDEX('Vergi'!$F$10:$AR$10,MATCH(30,'Zaman'!$F$9:$AR$9,0))-SUM(F42:AH42),MAX(0,'Vergi'!AI11-SUM(AI13:AI41))),0)</f>
        <v/>
      </c>
      <c r="AJ42" s="18">
        <f>IF(AND('Zaman'!AJ9&gt;30,'Zaman'!AJ9-30&lt;=5),MIN(INDEX('Vergi'!$F$10:$AR$10,MATCH(30,'Zaman'!$F$9:$AR$9,0))-SUM(F42:AI42),MAX(0,'Vergi'!AJ11-SUM(AJ13:AJ41))),0)</f>
        <v/>
      </c>
      <c r="AK42" s="18">
        <f>IF(AND('Zaman'!AK9&gt;30,'Zaman'!AK9-30&lt;=5),MIN(INDEX('Vergi'!$F$10:$AR$10,MATCH(30,'Zaman'!$F$9:$AR$9,0))-SUM(F42:AJ42),MAX(0,'Vergi'!AK11-SUM(AK13:AK41))),0)</f>
        <v/>
      </c>
      <c r="AL42" s="18">
        <f>IF(AND('Zaman'!AL9&gt;30,'Zaman'!AL9-30&lt;=5),MIN(INDEX('Vergi'!$F$10:$AR$10,MATCH(30,'Zaman'!$F$9:$AR$9,0))-SUM(F42:AK42),MAX(0,'Vergi'!AL11-SUM(AL13:AL41))),0)</f>
        <v/>
      </c>
      <c r="AM42" s="18">
        <f>IF(AND('Zaman'!AM9&gt;30,'Zaman'!AM9-30&lt;=5),MIN(INDEX('Vergi'!$F$10:$AR$10,MATCH(30,'Zaman'!$F$9:$AR$9,0))-SUM(F42:AL42),MAX(0,'Vergi'!AM11-SUM(AM13:AM41))),0)</f>
        <v/>
      </c>
      <c r="AN42" s="18">
        <f>IF(AND('Zaman'!AN9&gt;30,'Zaman'!AN9-30&lt;=5),MIN(INDEX('Vergi'!$F$10:$AR$10,MATCH(30,'Zaman'!$F$9:$AR$9,0))-SUM(F42:AM42),MAX(0,'Vergi'!AN11-SUM(AN13:AN41))),0)</f>
        <v/>
      </c>
      <c r="AO42" s="18">
        <f>IF(AND('Zaman'!AO9&gt;30,'Zaman'!AO9-30&lt;=5),MIN(INDEX('Vergi'!$F$10:$AR$10,MATCH(30,'Zaman'!$F$9:$AR$9,0))-SUM(F42:AN42),MAX(0,'Vergi'!AO11-SUM(AO13:AO41))),0)</f>
        <v/>
      </c>
      <c r="AP42" s="18">
        <f>IF(AND('Zaman'!AP9&gt;30,'Zaman'!AP9-30&lt;=5),MIN(INDEX('Vergi'!$F$10:$AR$10,MATCH(30,'Zaman'!$F$9:$AR$9,0))-SUM(F42:AO42),MAX(0,'Vergi'!AP11-SUM(AP13:AP41))),0)</f>
        <v/>
      </c>
      <c r="AQ42" s="18">
        <f>IF(AND('Zaman'!AQ9&gt;30,'Zaman'!AQ9-30&lt;=5),MIN(INDEX('Vergi'!$F$10:$AR$10,MATCH(30,'Zaman'!$F$9:$AR$9,0))-SUM(F42:AP42),MAX(0,'Vergi'!AQ11-SUM(AQ13:AQ41))),0)</f>
        <v/>
      </c>
      <c r="AR42" s="18">
        <f>IF(AND('Zaman'!AR9&gt;30,'Zaman'!AR9-30&lt;=5),MIN(INDEX('Vergi'!$F$10:$AR$10,MATCH(30,'Zaman'!$F$9:$AR$9,0))-SUM(F42:AQ42),MAX(0,'Vergi'!AR11-SUM(AR13:AR41))),0)</f>
        <v/>
      </c>
    </row>
    <row r="43">
      <c r="A43" t="inlineStr">
        <is>
          <t>Kullanılan zarar mahsubu</t>
        </is>
      </c>
      <c r="B43" t="inlineStr">
        <is>
          <t>USD</t>
        </is>
      </c>
      <c r="C43" t="inlineStr"/>
      <c r="D43" s="18">
        <f>SUM(F43:AR43)</f>
        <v/>
      </c>
      <c r="E43" s="18" t="n">
        <v>0</v>
      </c>
      <c r="F43" s="18">
        <f>SUM(F13:F42)</f>
        <v/>
      </c>
      <c r="G43" s="18">
        <f>SUM(G13:G42)</f>
        <v/>
      </c>
      <c r="H43" s="18">
        <f>SUM(H13:H42)</f>
        <v/>
      </c>
      <c r="I43" s="18">
        <f>SUM(I13:I42)</f>
        <v/>
      </c>
      <c r="J43" s="18">
        <f>SUM(J13:J42)</f>
        <v/>
      </c>
      <c r="K43" s="18">
        <f>SUM(K13:K42)</f>
        <v/>
      </c>
      <c r="L43" s="18">
        <f>SUM(L13:L42)</f>
        <v/>
      </c>
      <c r="M43" s="18">
        <f>SUM(M13:M42)</f>
        <v/>
      </c>
      <c r="N43" s="18">
        <f>SUM(N13:N42)</f>
        <v/>
      </c>
      <c r="O43" s="18">
        <f>SUM(O13:O42)</f>
        <v/>
      </c>
      <c r="P43" s="18">
        <f>SUM(P13:P42)</f>
        <v/>
      </c>
      <c r="Q43" s="18">
        <f>SUM(Q13:Q42)</f>
        <v/>
      </c>
      <c r="R43" s="18">
        <f>SUM(R13:R42)</f>
        <v/>
      </c>
      <c r="S43" s="18">
        <f>SUM(S13:S42)</f>
        <v/>
      </c>
      <c r="T43" s="18">
        <f>SUM(T13:T42)</f>
        <v/>
      </c>
      <c r="U43" s="18">
        <f>SUM(U13:U42)</f>
        <v/>
      </c>
      <c r="V43" s="18">
        <f>SUM(V13:V42)</f>
        <v/>
      </c>
      <c r="W43" s="18">
        <f>SUM(W13:W42)</f>
        <v/>
      </c>
      <c r="X43" s="18">
        <f>SUM(X13:X42)</f>
        <v/>
      </c>
      <c r="Y43" s="18">
        <f>SUM(Y13:Y42)</f>
        <v/>
      </c>
      <c r="Z43" s="18">
        <f>SUM(Z13:Z42)</f>
        <v/>
      </c>
      <c r="AA43" s="18">
        <f>SUM(AA13:AA42)</f>
        <v/>
      </c>
      <c r="AB43" s="18">
        <f>SUM(AB13:AB42)</f>
        <v/>
      </c>
      <c r="AC43" s="18">
        <f>SUM(AC13:AC42)</f>
        <v/>
      </c>
      <c r="AD43" s="18">
        <f>SUM(AD13:AD42)</f>
        <v/>
      </c>
      <c r="AE43" s="18">
        <f>SUM(AE13:AE42)</f>
        <v/>
      </c>
      <c r="AF43" s="18">
        <f>SUM(AF13:AF42)</f>
        <v/>
      </c>
      <c r="AG43" s="18">
        <f>SUM(AG13:AG42)</f>
        <v/>
      </c>
      <c r="AH43" s="18">
        <f>SUM(AH13:AH42)</f>
        <v/>
      </c>
      <c r="AI43" s="18">
        <f>SUM(AI13:AI42)</f>
        <v/>
      </c>
      <c r="AJ43" s="18">
        <f>SUM(AJ13:AJ42)</f>
        <v/>
      </c>
      <c r="AK43" s="18">
        <f>SUM(AK13:AK42)</f>
        <v/>
      </c>
      <c r="AL43" s="18">
        <f>SUM(AL13:AL42)</f>
        <v/>
      </c>
      <c r="AM43" s="18">
        <f>SUM(AM13:AM42)</f>
        <v/>
      </c>
      <c r="AN43" s="18">
        <f>SUM(AN13:AN42)</f>
        <v/>
      </c>
      <c r="AO43" s="18">
        <f>SUM(AO13:AO42)</f>
        <v/>
      </c>
      <c r="AP43" s="18">
        <f>SUM(AP13:AP42)</f>
        <v/>
      </c>
      <c r="AQ43" s="18">
        <f>SUM(AQ13:AQ42)</f>
        <v/>
      </c>
      <c r="AR43" s="18">
        <f>SUM(AR13:AR42)</f>
        <v/>
      </c>
    </row>
    <row r="44">
      <c r="A44" t="inlineStr">
        <is>
          <t>Kurumlar vergisi</t>
        </is>
      </c>
      <c r="B44" t="inlineStr">
        <is>
          <t>USD</t>
        </is>
      </c>
      <c r="C44" t="inlineStr"/>
      <c r="D44" s="18">
        <f>SUM(F44:AR44)</f>
        <v/>
      </c>
      <c r="E44" s="18" t="n">
        <v>0</v>
      </c>
      <c r="F44" s="18">
        <f>Girdiler!$C$74*('Vergi'!F11-'Vergi'!F43)</f>
        <v/>
      </c>
      <c r="G44" s="18">
        <f>Girdiler!$C$74*('Vergi'!G11-'Vergi'!G43)</f>
        <v/>
      </c>
      <c r="H44" s="18">
        <f>Girdiler!$C$74*('Vergi'!H11-'Vergi'!H43)</f>
        <v/>
      </c>
      <c r="I44" s="18">
        <f>Girdiler!$C$74*('Vergi'!I11-'Vergi'!I43)</f>
        <v/>
      </c>
      <c r="J44" s="18">
        <f>Girdiler!$C$74*('Vergi'!J11-'Vergi'!J43)</f>
        <v/>
      </c>
      <c r="K44" s="18">
        <f>Girdiler!$C$74*('Vergi'!K11-'Vergi'!K43)</f>
        <v/>
      </c>
      <c r="L44" s="18">
        <f>Girdiler!$C$74*('Vergi'!L11-'Vergi'!L43)</f>
        <v/>
      </c>
      <c r="M44" s="18">
        <f>Girdiler!$C$74*('Vergi'!M11-'Vergi'!M43)</f>
        <v/>
      </c>
      <c r="N44" s="18">
        <f>Girdiler!$C$74*('Vergi'!N11-'Vergi'!N43)</f>
        <v/>
      </c>
      <c r="O44" s="18">
        <f>Girdiler!$C$74*('Vergi'!O11-'Vergi'!O43)</f>
        <v/>
      </c>
      <c r="P44" s="18">
        <f>Girdiler!$C$74*('Vergi'!P11-'Vergi'!P43)</f>
        <v/>
      </c>
      <c r="Q44" s="18">
        <f>Girdiler!$C$74*('Vergi'!Q11-'Vergi'!Q43)</f>
        <v/>
      </c>
      <c r="R44" s="18">
        <f>Girdiler!$C$74*('Vergi'!R11-'Vergi'!R43)</f>
        <v/>
      </c>
      <c r="S44" s="18">
        <f>Girdiler!$C$74*('Vergi'!S11-'Vergi'!S43)</f>
        <v/>
      </c>
      <c r="T44" s="18">
        <f>Girdiler!$C$74*('Vergi'!T11-'Vergi'!T43)</f>
        <v/>
      </c>
      <c r="U44" s="18">
        <f>Girdiler!$C$74*('Vergi'!U11-'Vergi'!U43)</f>
        <v/>
      </c>
      <c r="V44" s="18">
        <f>Girdiler!$C$74*('Vergi'!V11-'Vergi'!V43)</f>
        <v/>
      </c>
      <c r="W44" s="18">
        <f>Girdiler!$C$74*('Vergi'!W11-'Vergi'!W43)</f>
        <v/>
      </c>
      <c r="X44" s="18">
        <f>Girdiler!$C$74*('Vergi'!X11-'Vergi'!X43)</f>
        <v/>
      </c>
      <c r="Y44" s="18">
        <f>Girdiler!$C$74*('Vergi'!Y11-'Vergi'!Y43)</f>
        <v/>
      </c>
      <c r="Z44" s="18">
        <f>Girdiler!$C$74*('Vergi'!Z11-'Vergi'!Z43)</f>
        <v/>
      </c>
      <c r="AA44" s="18">
        <f>Girdiler!$C$74*('Vergi'!AA11-'Vergi'!AA43)</f>
        <v/>
      </c>
      <c r="AB44" s="18">
        <f>Girdiler!$C$74*('Vergi'!AB11-'Vergi'!AB43)</f>
        <v/>
      </c>
      <c r="AC44" s="18">
        <f>Girdiler!$C$74*('Vergi'!AC11-'Vergi'!AC43)</f>
        <v/>
      </c>
      <c r="AD44" s="18">
        <f>Girdiler!$C$74*('Vergi'!AD11-'Vergi'!AD43)</f>
        <v/>
      </c>
      <c r="AE44" s="18">
        <f>Girdiler!$C$74*('Vergi'!AE11-'Vergi'!AE43)</f>
        <v/>
      </c>
      <c r="AF44" s="18">
        <f>Girdiler!$C$74*('Vergi'!AF11-'Vergi'!AF43)</f>
        <v/>
      </c>
      <c r="AG44" s="18">
        <f>Girdiler!$C$74*('Vergi'!AG11-'Vergi'!AG43)</f>
        <v/>
      </c>
      <c r="AH44" s="18">
        <f>Girdiler!$C$74*('Vergi'!AH11-'Vergi'!AH43)</f>
        <v/>
      </c>
      <c r="AI44" s="18">
        <f>Girdiler!$C$74*('Vergi'!AI11-'Vergi'!AI43)</f>
        <v/>
      </c>
      <c r="AJ44" s="18">
        <f>Girdiler!$C$74*('Vergi'!AJ11-'Vergi'!AJ43)</f>
        <v/>
      </c>
      <c r="AK44" s="18">
        <f>Girdiler!$C$74*('Vergi'!AK11-'Vergi'!AK43)</f>
        <v/>
      </c>
      <c r="AL44" s="18">
        <f>Girdiler!$C$74*('Vergi'!AL11-'Vergi'!AL43)</f>
        <v/>
      </c>
      <c r="AM44" s="18">
        <f>Girdiler!$C$74*('Vergi'!AM11-'Vergi'!AM43)</f>
        <v/>
      </c>
      <c r="AN44" s="18">
        <f>Girdiler!$C$74*('Vergi'!AN11-'Vergi'!AN43)</f>
        <v/>
      </c>
      <c r="AO44" s="18">
        <f>Girdiler!$C$74*('Vergi'!AO11-'Vergi'!AO43)</f>
        <v/>
      </c>
      <c r="AP44" s="18">
        <f>Girdiler!$C$74*('Vergi'!AP11-'Vergi'!AP43)</f>
        <v/>
      </c>
      <c r="AQ44" s="18">
        <f>Girdiler!$C$74*('Vergi'!AQ11-'Vergi'!AQ43)</f>
        <v/>
      </c>
      <c r="AR44" s="18">
        <f>Girdiler!$C$74*('Vergi'!AR11-'Vergi'!AR43)</f>
        <v/>
      </c>
    </row>
    <row r="45">
      <c r="A45" t="inlineStr">
        <is>
          <t>CFADS (borç servisine esas nakit)</t>
        </is>
      </c>
      <c r="B45" t="inlineStr">
        <is>
          <t>USD</t>
        </is>
      </c>
      <c r="C45" t="inlineStr"/>
      <c r="D45" s="18">
        <f>SUM(F45:AR45)</f>
        <v/>
      </c>
      <c r="E45" s="18" t="n">
        <v>0</v>
      </c>
      <c r="F45" s="18">
        <f>'OPEX'!F14-'Vergi'!F44-'OPEX'!F15-'OPEX'!F16</f>
        <v/>
      </c>
      <c r="G45" s="18">
        <f>'OPEX'!G14-'Vergi'!G44-'OPEX'!G15-'OPEX'!G16</f>
        <v/>
      </c>
      <c r="H45" s="18">
        <f>'OPEX'!H14-'Vergi'!H44-'OPEX'!H15-'OPEX'!H16</f>
        <v/>
      </c>
      <c r="I45" s="18">
        <f>'OPEX'!I14-'Vergi'!I44-'OPEX'!I15-'OPEX'!I16</f>
        <v/>
      </c>
      <c r="J45" s="18">
        <f>'OPEX'!J14-'Vergi'!J44-'OPEX'!J15-'OPEX'!J16</f>
        <v/>
      </c>
      <c r="K45" s="18">
        <f>'OPEX'!K14-'Vergi'!K44-'OPEX'!K15-'OPEX'!K16</f>
        <v/>
      </c>
      <c r="L45" s="18">
        <f>'OPEX'!L14-'Vergi'!L44-'OPEX'!L15-'OPEX'!L16</f>
        <v/>
      </c>
      <c r="M45" s="18">
        <f>'OPEX'!M14-'Vergi'!M44-'OPEX'!M15-'OPEX'!M16</f>
        <v/>
      </c>
      <c r="N45" s="18">
        <f>'OPEX'!N14-'Vergi'!N44-'OPEX'!N15-'OPEX'!N16</f>
        <v/>
      </c>
      <c r="O45" s="18">
        <f>'OPEX'!O14-'Vergi'!O44-'OPEX'!O15-'OPEX'!O16</f>
        <v/>
      </c>
      <c r="P45" s="18">
        <f>'OPEX'!P14-'Vergi'!P44-'OPEX'!P15-'OPEX'!P16</f>
        <v/>
      </c>
      <c r="Q45" s="18">
        <f>'OPEX'!Q14-'Vergi'!Q44-'OPEX'!Q15-'OPEX'!Q16</f>
        <v/>
      </c>
      <c r="R45" s="18">
        <f>'OPEX'!R14-'Vergi'!R44-'OPEX'!R15-'OPEX'!R16</f>
        <v/>
      </c>
      <c r="S45" s="18">
        <f>'OPEX'!S14-'Vergi'!S44-'OPEX'!S15-'OPEX'!S16</f>
        <v/>
      </c>
      <c r="T45" s="18">
        <f>'OPEX'!T14-'Vergi'!T44-'OPEX'!T15-'OPEX'!T16</f>
        <v/>
      </c>
      <c r="U45" s="18">
        <f>'OPEX'!U14-'Vergi'!U44-'OPEX'!U15-'OPEX'!U16</f>
        <v/>
      </c>
      <c r="V45" s="18">
        <f>'OPEX'!V14-'Vergi'!V44-'OPEX'!V15-'OPEX'!V16</f>
        <v/>
      </c>
      <c r="W45" s="18">
        <f>'OPEX'!W14-'Vergi'!W44-'OPEX'!W15-'OPEX'!W16</f>
        <v/>
      </c>
      <c r="X45" s="18">
        <f>'OPEX'!X14-'Vergi'!X44-'OPEX'!X15-'OPEX'!X16</f>
        <v/>
      </c>
      <c r="Y45" s="18">
        <f>'OPEX'!Y14-'Vergi'!Y44-'OPEX'!Y15-'OPEX'!Y16</f>
        <v/>
      </c>
      <c r="Z45" s="18">
        <f>'OPEX'!Z14-'Vergi'!Z44-'OPEX'!Z15-'OPEX'!Z16</f>
        <v/>
      </c>
      <c r="AA45" s="18">
        <f>'OPEX'!AA14-'Vergi'!AA44-'OPEX'!AA15-'OPEX'!AA16</f>
        <v/>
      </c>
      <c r="AB45" s="18">
        <f>'OPEX'!AB14-'Vergi'!AB44-'OPEX'!AB15-'OPEX'!AB16</f>
        <v/>
      </c>
      <c r="AC45" s="18">
        <f>'OPEX'!AC14-'Vergi'!AC44-'OPEX'!AC15-'OPEX'!AC16</f>
        <v/>
      </c>
      <c r="AD45" s="18">
        <f>'OPEX'!AD14-'Vergi'!AD44-'OPEX'!AD15-'OPEX'!AD16</f>
        <v/>
      </c>
      <c r="AE45" s="18">
        <f>'OPEX'!AE14-'Vergi'!AE44-'OPEX'!AE15-'OPEX'!AE16</f>
        <v/>
      </c>
      <c r="AF45" s="18">
        <f>'OPEX'!AF14-'Vergi'!AF44-'OPEX'!AF15-'OPEX'!AF16</f>
        <v/>
      </c>
      <c r="AG45" s="18">
        <f>'OPEX'!AG14-'Vergi'!AG44-'OPEX'!AG15-'OPEX'!AG16</f>
        <v/>
      </c>
      <c r="AH45" s="18">
        <f>'OPEX'!AH14-'Vergi'!AH44-'OPEX'!AH15-'OPEX'!AH16</f>
        <v/>
      </c>
      <c r="AI45" s="18">
        <f>'OPEX'!AI14-'Vergi'!AI44-'OPEX'!AI15-'OPEX'!AI16</f>
        <v/>
      </c>
      <c r="AJ45" s="18">
        <f>'OPEX'!AJ14-'Vergi'!AJ44-'OPEX'!AJ15-'OPEX'!AJ16</f>
        <v/>
      </c>
      <c r="AK45" s="18">
        <f>'OPEX'!AK14-'Vergi'!AK44-'OPEX'!AK15-'OPEX'!AK16</f>
        <v/>
      </c>
      <c r="AL45" s="18">
        <f>'OPEX'!AL14-'Vergi'!AL44-'OPEX'!AL15-'OPEX'!AL16</f>
        <v/>
      </c>
      <c r="AM45" s="18">
        <f>'OPEX'!AM14-'Vergi'!AM44-'OPEX'!AM15-'OPEX'!AM16</f>
        <v/>
      </c>
      <c r="AN45" s="18">
        <f>'OPEX'!AN14-'Vergi'!AN44-'OPEX'!AN15-'OPEX'!AN16</f>
        <v/>
      </c>
      <c r="AO45" s="18">
        <f>'OPEX'!AO14-'Vergi'!AO44-'OPEX'!AO15-'OPEX'!AO16</f>
        <v/>
      </c>
      <c r="AP45" s="18">
        <f>'OPEX'!AP14-'Vergi'!AP44-'OPEX'!AP15-'OPEX'!AP16</f>
        <v/>
      </c>
      <c r="AQ45" s="18">
        <f>'OPEX'!AQ14-'Vergi'!AQ44-'OPEX'!AQ15-'OPEX'!AQ16</f>
        <v/>
      </c>
      <c r="AR45" s="18">
        <f>'OPEX'!AR14-'Vergi'!AR44-'OPEX'!AR15-'OPEX'!AR16</f>
        <v/>
      </c>
    </row>
    <row r="46"/>
    <row r="47">
      <c r="A47" s="26" t="inlineStr">
        <is>
          <t>— Blok: P90 (borç boyutlandırma) —</t>
        </is>
      </c>
    </row>
    <row r="48">
      <c r="A48" t="inlineStr">
        <is>
          <t>Amortisman (10 yıl doğrusal)</t>
        </is>
      </c>
      <c r="B48" t="inlineStr">
        <is>
          <t>USD</t>
        </is>
      </c>
      <c r="C48" t="inlineStr"/>
      <c r="D48" s="18">
        <f>SUM(F48:AR48)</f>
        <v/>
      </c>
      <c r="E48" s="18" t="n">
        <v>0</v>
      </c>
      <c r="F48" s="18">
        <f>IF(AND('Zaman'!F9&gt;=1,'Zaman'!F9&lt;=Girdiler!$C$75),Girdiler!$C$90/Girdiler!$C$75,0)</f>
        <v/>
      </c>
      <c r="G48" s="18">
        <f>IF(AND('Zaman'!G9&gt;=1,'Zaman'!G9&lt;=Girdiler!$C$75),Girdiler!$C$90/Girdiler!$C$75,0)</f>
        <v/>
      </c>
      <c r="H48" s="18">
        <f>IF(AND('Zaman'!H9&gt;=1,'Zaman'!H9&lt;=Girdiler!$C$75),Girdiler!$C$90/Girdiler!$C$75,0)</f>
        <v/>
      </c>
      <c r="I48" s="18">
        <f>IF(AND('Zaman'!I9&gt;=1,'Zaman'!I9&lt;=Girdiler!$C$75),Girdiler!$C$90/Girdiler!$C$75,0)</f>
        <v/>
      </c>
      <c r="J48" s="18">
        <f>IF(AND('Zaman'!J9&gt;=1,'Zaman'!J9&lt;=Girdiler!$C$75),Girdiler!$C$90/Girdiler!$C$75,0)</f>
        <v/>
      </c>
      <c r="K48" s="18">
        <f>IF(AND('Zaman'!K9&gt;=1,'Zaman'!K9&lt;=Girdiler!$C$75),Girdiler!$C$90/Girdiler!$C$75,0)</f>
        <v/>
      </c>
      <c r="L48" s="18">
        <f>IF(AND('Zaman'!L9&gt;=1,'Zaman'!L9&lt;=Girdiler!$C$75),Girdiler!$C$90/Girdiler!$C$75,0)</f>
        <v/>
      </c>
      <c r="M48" s="18">
        <f>IF(AND('Zaman'!M9&gt;=1,'Zaman'!M9&lt;=Girdiler!$C$75),Girdiler!$C$90/Girdiler!$C$75,0)</f>
        <v/>
      </c>
      <c r="N48" s="18">
        <f>IF(AND('Zaman'!N9&gt;=1,'Zaman'!N9&lt;=Girdiler!$C$75),Girdiler!$C$90/Girdiler!$C$75,0)</f>
        <v/>
      </c>
      <c r="O48" s="18">
        <f>IF(AND('Zaman'!O9&gt;=1,'Zaman'!O9&lt;=Girdiler!$C$75),Girdiler!$C$90/Girdiler!$C$75,0)</f>
        <v/>
      </c>
      <c r="P48" s="18">
        <f>IF(AND('Zaman'!P9&gt;=1,'Zaman'!P9&lt;=Girdiler!$C$75),Girdiler!$C$90/Girdiler!$C$75,0)</f>
        <v/>
      </c>
      <c r="Q48" s="18">
        <f>IF(AND('Zaman'!Q9&gt;=1,'Zaman'!Q9&lt;=Girdiler!$C$75),Girdiler!$C$90/Girdiler!$C$75,0)</f>
        <v/>
      </c>
      <c r="R48" s="18">
        <f>IF(AND('Zaman'!R9&gt;=1,'Zaman'!R9&lt;=Girdiler!$C$75),Girdiler!$C$90/Girdiler!$C$75,0)</f>
        <v/>
      </c>
      <c r="S48" s="18">
        <f>IF(AND('Zaman'!S9&gt;=1,'Zaman'!S9&lt;=Girdiler!$C$75),Girdiler!$C$90/Girdiler!$C$75,0)</f>
        <v/>
      </c>
      <c r="T48" s="18">
        <f>IF(AND('Zaman'!T9&gt;=1,'Zaman'!T9&lt;=Girdiler!$C$75),Girdiler!$C$90/Girdiler!$C$75,0)</f>
        <v/>
      </c>
      <c r="U48" s="18">
        <f>IF(AND('Zaman'!U9&gt;=1,'Zaman'!U9&lt;=Girdiler!$C$75),Girdiler!$C$90/Girdiler!$C$75,0)</f>
        <v/>
      </c>
      <c r="V48" s="18">
        <f>IF(AND('Zaman'!V9&gt;=1,'Zaman'!V9&lt;=Girdiler!$C$75),Girdiler!$C$90/Girdiler!$C$75,0)</f>
        <v/>
      </c>
      <c r="W48" s="18">
        <f>IF(AND('Zaman'!W9&gt;=1,'Zaman'!W9&lt;=Girdiler!$C$75),Girdiler!$C$90/Girdiler!$C$75,0)</f>
        <v/>
      </c>
      <c r="X48" s="18">
        <f>IF(AND('Zaman'!X9&gt;=1,'Zaman'!X9&lt;=Girdiler!$C$75),Girdiler!$C$90/Girdiler!$C$75,0)</f>
        <v/>
      </c>
      <c r="Y48" s="18">
        <f>IF(AND('Zaman'!Y9&gt;=1,'Zaman'!Y9&lt;=Girdiler!$C$75),Girdiler!$C$90/Girdiler!$C$75,0)</f>
        <v/>
      </c>
      <c r="Z48" s="18">
        <f>IF(AND('Zaman'!Z9&gt;=1,'Zaman'!Z9&lt;=Girdiler!$C$75),Girdiler!$C$90/Girdiler!$C$75,0)</f>
        <v/>
      </c>
      <c r="AA48" s="18">
        <f>IF(AND('Zaman'!AA9&gt;=1,'Zaman'!AA9&lt;=Girdiler!$C$75),Girdiler!$C$90/Girdiler!$C$75,0)</f>
        <v/>
      </c>
      <c r="AB48" s="18">
        <f>IF(AND('Zaman'!AB9&gt;=1,'Zaman'!AB9&lt;=Girdiler!$C$75),Girdiler!$C$90/Girdiler!$C$75,0)</f>
        <v/>
      </c>
      <c r="AC48" s="18">
        <f>IF(AND('Zaman'!AC9&gt;=1,'Zaman'!AC9&lt;=Girdiler!$C$75),Girdiler!$C$90/Girdiler!$C$75,0)</f>
        <v/>
      </c>
      <c r="AD48" s="18">
        <f>IF(AND('Zaman'!AD9&gt;=1,'Zaman'!AD9&lt;=Girdiler!$C$75),Girdiler!$C$90/Girdiler!$C$75,0)</f>
        <v/>
      </c>
      <c r="AE48" s="18">
        <f>IF(AND('Zaman'!AE9&gt;=1,'Zaman'!AE9&lt;=Girdiler!$C$75),Girdiler!$C$90/Girdiler!$C$75,0)</f>
        <v/>
      </c>
      <c r="AF48" s="18">
        <f>IF(AND('Zaman'!AF9&gt;=1,'Zaman'!AF9&lt;=Girdiler!$C$75),Girdiler!$C$90/Girdiler!$C$75,0)</f>
        <v/>
      </c>
      <c r="AG48" s="18">
        <f>IF(AND('Zaman'!AG9&gt;=1,'Zaman'!AG9&lt;=Girdiler!$C$75),Girdiler!$C$90/Girdiler!$C$75,0)</f>
        <v/>
      </c>
      <c r="AH48" s="18">
        <f>IF(AND('Zaman'!AH9&gt;=1,'Zaman'!AH9&lt;=Girdiler!$C$75),Girdiler!$C$90/Girdiler!$C$75,0)</f>
        <v/>
      </c>
      <c r="AI48" s="18">
        <f>IF(AND('Zaman'!AI9&gt;=1,'Zaman'!AI9&lt;=Girdiler!$C$75),Girdiler!$C$90/Girdiler!$C$75,0)</f>
        <v/>
      </c>
      <c r="AJ48" s="18">
        <f>IF(AND('Zaman'!AJ9&gt;=1,'Zaman'!AJ9&lt;=Girdiler!$C$75),Girdiler!$C$90/Girdiler!$C$75,0)</f>
        <v/>
      </c>
      <c r="AK48" s="18">
        <f>IF(AND('Zaman'!AK9&gt;=1,'Zaman'!AK9&lt;=Girdiler!$C$75),Girdiler!$C$90/Girdiler!$C$75,0)</f>
        <v/>
      </c>
      <c r="AL48" s="18">
        <f>IF(AND('Zaman'!AL9&gt;=1,'Zaman'!AL9&lt;=Girdiler!$C$75),Girdiler!$C$90/Girdiler!$C$75,0)</f>
        <v/>
      </c>
      <c r="AM48" s="18">
        <f>IF(AND('Zaman'!AM9&gt;=1,'Zaman'!AM9&lt;=Girdiler!$C$75),Girdiler!$C$90/Girdiler!$C$75,0)</f>
        <v/>
      </c>
      <c r="AN48" s="18">
        <f>IF(AND('Zaman'!AN9&gt;=1,'Zaman'!AN9&lt;=Girdiler!$C$75),Girdiler!$C$90/Girdiler!$C$75,0)</f>
        <v/>
      </c>
      <c r="AO48" s="18">
        <f>IF(AND('Zaman'!AO9&gt;=1,'Zaman'!AO9&lt;=Girdiler!$C$75),Girdiler!$C$90/Girdiler!$C$75,0)</f>
        <v/>
      </c>
      <c r="AP48" s="18">
        <f>IF(AND('Zaman'!AP9&gt;=1,'Zaman'!AP9&lt;=Girdiler!$C$75),Girdiler!$C$90/Girdiler!$C$75,0)</f>
        <v/>
      </c>
      <c r="AQ48" s="18">
        <f>IF(AND('Zaman'!AQ9&gt;=1,'Zaman'!AQ9&lt;=Girdiler!$C$75),Girdiler!$C$90/Girdiler!$C$75,0)</f>
        <v/>
      </c>
      <c r="AR48" s="18">
        <f>IF(AND('Zaman'!AR9&gt;=1,'Zaman'!AR9&lt;=Girdiler!$C$75),Girdiler!$C$90/Girdiler!$C$75,0)</f>
        <v/>
      </c>
    </row>
    <row r="49">
      <c r="A49" t="inlineStr">
        <is>
          <t>Mahsup öncesi matrah</t>
        </is>
      </c>
      <c r="B49" t="inlineStr">
        <is>
          <t>USD</t>
        </is>
      </c>
      <c r="C49" t="inlineStr"/>
      <c r="D49" s="18">
        <f>SUM(F49:AR49)</f>
        <v/>
      </c>
      <c r="E49" s="18" t="n">
        <v>0</v>
      </c>
      <c r="F49" s="18">
        <f>'OPEX'!F25-'Vergi'!F48-'OPEX'!F26-'OPEX'!F27</f>
        <v/>
      </c>
      <c r="G49" s="18">
        <f>'OPEX'!G25-'Vergi'!G48-'OPEX'!G26-'OPEX'!G27</f>
        <v/>
      </c>
      <c r="H49" s="18">
        <f>'OPEX'!H25-'Vergi'!H48-'OPEX'!H26-'OPEX'!H27</f>
        <v/>
      </c>
      <c r="I49" s="18">
        <f>'OPEX'!I25-'Vergi'!I48-'OPEX'!I26-'OPEX'!I27</f>
        <v/>
      </c>
      <c r="J49" s="18">
        <f>'OPEX'!J25-'Vergi'!J48-'OPEX'!J26-'OPEX'!J27</f>
        <v/>
      </c>
      <c r="K49" s="18">
        <f>'OPEX'!K25-'Vergi'!K48-'OPEX'!K26-'OPEX'!K27</f>
        <v/>
      </c>
      <c r="L49" s="18">
        <f>'OPEX'!L25-'Vergi'!L48-'OPEX'!L26-'OPEX'!L27</f>
        <v/>
      </c>
      <c r="M49" s="18">
        <f>'OPEX'!M25-'Vergi'!M48-'OPEX'!M26-'OPEX'!M27</f>
        <v/>
      </c>
      <c r="N49" s="18">
        <f>'OPEX'!N25-'Vergi'!N48-'OPEX'!N26-'OPEX'!N27</f>
        <v/>
      </c>
      <c r="O49" s="18">
        <f>'OPEX'!O25-'Vergi'!O48-'OPEX'!O26-'OPEX'!O27</f>
        <v/>
      </c>
      <c r="P49" s="18">
        <f>'OPEX'!P25-'Vergi'!P48-'OPEX'!P26-'OPEX'!P27</f>
        <v/>
      </c>
      <c r="Q49" s="18">
        <f>'OPEX'!Q25-'Vergi'!Q48-'OPEX'!Q26-'OPEX'!Q27</f>
        <v/>
      </c>
      <c r="R49" s="18">
        <f>'OPEX'!R25-'Vergi'!R48-'OPEX'!R26-'OPEX'!R27</f>
        <v/>
      </c>
      <c r="S49" s="18">
        <f>'OPEX'!S25-'Vergi'!S48-'OPEX'!S26-'OPEX'!S27</f>
        <v/>
      </c>
      <c r="T49" s="18">
        <f>'OPEX'!T25-'Vergi'!T48-'OPEX'!T26-'OPEX'!T27</f>
        <v/>
      </c>
      <c r="U49" s="18">
        <f>'OPEX'!U25-'Vergi'!U48-'OPEX'!U26-'OPEX'!U27</f>
        <v/>
      </c>
      <c r="V49" s="18">
        <f>'OPEX'!V25-'Vergi'!V48-'OPEX'!V26-'OPEX'!V27</f>
        <v/>
      </c>
      <c r="W49" s="18">
        <f>'OPEX'!W25-'Vergi'!W48-'OPEX'!W26-'OPEX'!W27</f>
        <v/>
      </c>
      <c r="X49" s="18">
        <f>'OPEX'!X25-'Vergi'!X48-'OPEX'!X26-'OPEX'!X27</f>
        <v/>
      </c>
      <c r="Y49" s="18">
        <f>'OPEX'!Y25-'Vergi'!Y48-'OPEX'!Y26-'OPEX'!Y27</f>
        <v/>
      </c>
      <c r="Z49" s="18">
        <f>'OPEX'!Z25-'Vergi'!Z48-'OPEX'!Z26-'OPEX'!Z27</f>
        <v/>
      </c>
      <c r="AA49" s="18">
        <f>'OPEX'!AA25-'Vergi'!AA48-'OPEX'!AA26-'OPEX'!AA27</f>
        <v/>
      </c>
      <c r="AB49" s="18">
        <f>'OPEX'!AB25-'Vergi'!AB48-'OPEX'!AB26-'OPEX'!AB27</f>
        <v/>
      </c>
      <c r="AC49" s="18">
        <f>'OPEX'!AC25-'Vergi'!AC48-'OPEX'!AC26-'OPEX'!AC27</f>
        <v/>
      </c>
      <c r="AD49" s="18">
        <f>'OPEX'!AD25-'Vergi'!AD48-'OPEX'!AD26-'OPEX'!AD27</f>
        <v/>
      </c>
      <c r="AE49" s="18">
        <f>'OPEX'!AE25-'Vergi'!AE48-'OPEX'!AE26-'OPEX'!AE27</f>
        <v/>
      </c>
      <c r="AF49" s="18">
        <f>'OPEX'!AF25-'Vergi'!AF48-'OPEX'!AF26-'OPEX'!AF27</f>
        <v/>
      </c>
      <c r="AG49" s="18">
        <f>'OPEX'!AG25-'Vergi'!AG48-'OPEX'!AG26-'OPEX'!AG27</f>
        <v/>
      </c>
      <c r="AH49" s="18">
        <f>'OPEX'!AH25-'Vergi'!AH48-'OPEX'!AH26-'OPEX'!AH27</f>
        <v/>
      </c>
      <c r="AI49" s="18">
        <f>'OPEX'!AI25-'Vergi'!AI48-'OPEX'!AI26-'OPEX'!AI27</f>
        <v/>
      </c>
      <c r="AJ49" s="18">
        <f>'OPEX'!AJ25-'Vergi'!AJ48-'OPEX'!AJ26-'OPEX'!AJ27</f>
        <v/>
      </c>
      <c r="AK49" s="18">
        <f>'OPEX'!AK25-'Vergi'!AK48-'OPEX'!AK26-'OPEX'!AK27</f>
        <v/>
      </c>
      <c r="AL49" s="18">
        <f>'OPEX'!AL25-'Vergi'!AL48-'OPEX'!AL26-'OPEX'!AL27</f>
        <v/>
      </c>
      <c r="AM49" s="18">
        <f>'OPEX'!AM25-'Vergi'!AM48-'OPEX'!AM26-'OPEX'!AM27</f>
        <v/>
      </c>
      <c r="AN49" s="18">
        <f>'OPEX'!AN25-'Vergi'!AN48-'OPEX'!AN26-'OPEX'!AN27</f>
        <v/>
      </c>
      <c r="AO49" s="18">
        <f>'OPEX'!AO25-'Vergi'!AO48-'OPEX'!AO26-'OPEX'!AO27</f>
        <v/>
      </c>
      <c r="AP49" s="18">
        <f>'OPEX'!AP25-'Vergi'!AP48-'OPEX'!AP26-'OPEX'!AP27</f>
        <v/>
      </c>
      <c r="AQ49" s="18">
        <f>'OPEX'!AQ25-'Vergi'!AQ48-'OPEX'!AQ26-'OPEX'!AQ27</f>
        <v/>
      </c>
      <c r="AR49" s="18">
        <f>'OPEX'!AR25-'Vergi'!AR48-'OPEX'!AR26-'OPEX'!AR27</f>
        <v/>
      </c>
    </row>
    <row r="50">
      <c r="A50" t="inlineStr">
        <is>
          <t>Dönem zararı</t>
        </is>
      </c>
      <c r="B50" t="inlineStr">
        <is>
          <t>USD</t>
        </is>
      </c>
      <c r="C50" t="inlineStr"/>
      <c r="D50" s="18">
        <f>SUM(F50:AR50)</f>
        <v/>
      </c>
      <c r="E50" s="18" t="n">
        <v>0</v>
      </c>
      <c r="F50" s="18">
        <f>MAX(-'Vergi'!F49,0)</f>
        <v/>
      </c>
      <c r="G50" s="18">
        <f>MAX(-'Vergi'!G49,0)</f>
        <v/>
      </c>
      <c r="H50" s="18">
        <f>MAX(-'Vergi'!H49,0)</f>
        <v/>
      </c>
      <c r="I50" s="18">
        <f>MAX(-'Vergi'!I49,0)</f>
        <v/>
      </c>
      <c r="J50" s="18">
        <f>MAX(-'Vergi'!J49,0)</f>
        <v/>
      </c>
      <c r="K50" s="18">
        <f>MAX(-'Vergi'!K49,0)</f>
        <v/>
      </c>
      <c r="L50" s="18">
        <f>MAX(-'Vergi'!L49,0)</f>
        <v/>
      </c>
      <c r="M50" s="18">
        <f>MAX(-'Vergi'!M49,0)</f>
        <v/>
      </c>
      <c r="N50" s="18">
        <f>MAX(-'Vergi'!N49,0)</f>
        <v/>
      </c>
      <c r="O50" s="18">
        <f>MAX(-'Vergi'!O49,0)</f>
        <v/>
      </c>
      <c r="P50" s="18">
        <f>MAX(-'Vergi'!P49,0)</f>
        <v/>
      </c>
      <c r="Q50" s="18">
        <f>MAX(-'Vergi'!Q49,0)</f>
        <v/>
      </c>
      <c r="R50" s="18">
        <f>MAX(-'Vergi'!R49,0)</f>
        <v/>
      </c>
      <c r="S50" s="18">
        <f>MAX(-'Vergi'!S49,0)</f>
        <v/>
      </c>
      <c r="T50" s="18">
        <f>MAX(-'Vergi'!T49,0)</f>
        <v/>
      </c>
      <c r="U50" s="18">
        <f>MAX(-'Vergi'!U49,0)</f>
        <v/>
      </c>
      <c r="V50" s="18">
        <f>MAX(-'Vergi'!V49,0)</f>
        <v/>
      </c>
      <c r="W50" s="18">
        <f>MAX(-'Vergi'!W49,0)</f>
        <v/>
      </c>
      <c r="X50" s="18">
        <f>MAX(-'Vergi'!X49,0)</f>
        <v/>
      </c>
      <c r="Y50" s="18">
        <f>MAX(-'Vergi'!Y49,0)</f>
        <v/>
      </c>
      <c r="Z50" s="18">
        <f>MAX(-'Vergi'!Z49,0)</f>
        <v/>
      </c>
      <c r="AA50" s="18">
        <f>MAX(-'Vergi'!AA49,0)</f>
        <v/>
      </c>
      <c r="AB50" s="18">
        <f>MAX(-'Vergi'!AB49,0)</f>
        <v/>
      </c>
      <c r="AC50" s="18">
        <f>MAX(-'Vergi'!AC49,0)</f>
        <v/>
      </c>
      <c r="AD50" s="18">
        <f>MAX(-'Vergi'!AD49,0)</f>
        <v/>
      </c>
      <c r="AE50" s="18">
        <f>MAX(-'Vergi'!AE49,0)</f>
        <v/>
      </c>
      <c r="AF50" s="18">
        <f>MAX(-'Vergi'!AF49,0)</f>
        <v/>
      </c>
      <c r="AG50" s="18">
        <f>MAX(-'Vergi'!AG49,0)</f>
        <v/>
      </c>
      <c r="AH50" s="18">
        <f>MAX(-'Vergi'!AH49,0)</f>
        <v/>
      </c>
      <c r="AI50" s="18">
        <f>MAX(-'Vergi'!AI49,0)</f>
        <v/>
      </c>
      <c r="AJ50" s="18">
        <f>MAX(-'Vergi'!AJ49,0)</f>
        <v/>
      </c>
      <c r="AK50" s="18">
        <f>MAX(-'Vergi'!AK49,0)</f>
        <v/>
      </c>
      <c r="AL50" s="18">
        <f>MAX(-'Vergi'!AL49,0)</f>
        <v/>
      </c>
      <c r="AM50" s="18">
        <f>MAX(-'Vergi'!AM49,0)</f>
        <v/>
      </c>
      <c r="AN50" s="18">
        <f>MAX(-'Vergi'!AN49,0)</f>
        <v/>
      </c>
      <c r="AO50" s="18">
        <f>MAX(-'Vergi'!AO49,0)</f>
        <v/>
      </c>
      <c r="AP50" s="18">
        <f>MAX(-'Vergi'!AP49,0)</f>
        <v/>
      </c>
      <c r="AQ50" s="18">
        <f>MAX(-'Vergi'!AQ49,0)</f>
        <v/>
      </c>
      <c r="AR50" s="18">
        <f>MAX(-'Vergi'!AR49,0)</f>
        <v/>
      </c>
    </row>
    <row r="51">
      <c r="A51" t="inlineStr">
        <is>
          <t>Pozitif matrah</t>
        </is>
      </c>
      <c r="B51" t="inlineStr">
        <is>
          <t>USD</t>
        </is>
      </c>
      <c r="C51" t="inlineStr"/>
      <c r="D51" s="18">
        <f>SUM(F51:AR51)</f>
        <v/>
      </c>
      <c r="E51" s="18" t="n">
        <v>0</v>
      </c>
      <c r="F51" s="18">
        <f>MAX('Vergi'!F49,0)</f>
        <v/>
      </c>
      <c r="G51" s="18">
        <f>MAX('Vergi'!G49,0)</f>
        <v/>
      </c>
      <c r="H51" s="18">
        <f>MAX('Vergi'!H49,0)</f>
        <v/>
      </c>
      <c r="I51" s="18">
        <f>MAX('Vergi'!I49,0)</f>
        <v/>
      </c>
      <c r="J51" s="18">
        <f>MAX('Vergi'!J49,0)</f>
        <v/>
      </c>
      <c r="K51" s="18">
        <f>MAX('Vergi'!K49,0)</f>
        <v/>
      </c>
      <c r="L51" s="18">
        <f>MAX('Vergi'!L49,0)</f>
        <v/>
      </c>
      <c r="M51" s="18">
        <f>MAX('Vergi'!M49,0)</f>
        <v/>
      </c>
      <c r="N51" s="18">
        <f>MAX('Vergi'!N49,0)</f>
        <v/>
      </c>
      <c r="O51" s="18">
        <f>MAX('Vergi'!O49,0)</f>
        <v/>
      </c>
      <c r="P51" s="18">
        <f>MAX('Vergi'!P49,0)</f>
        <v/>
      </c>
      <c r="Q51" s="18">
        <f>MAX('Vergi'!Q49,0)</f>
        <v/>
      </c>
      <c r="R51" s="18">
        <f>MAX('Vergi'!R49,0)</f>
        <v/>
      </c>
      <c r="S51" s="18">
        <f>MAX('Vergi'!S49,0)</f>
        <v/>
      </c>
      <c r="T51" s="18">
        <f>MAX('Vergi'!T49,0)</f>
        <v/>
      </c>
      <c r="U51" s="18">
        <f>MAX('Vergi'!U49,0)</f>
        <v/>
      </c>
      <c r="V51" s="18">
        <f>MAX('Vergi'!V49,0)</f>
        <v/>
      </c>
      <c r="W51" s="18">
        <f>MAX('Vergi'!W49,0)</f>
        <v/>
      </c>
      <c r="X51" s="18">
        <f>MAX('Vergi'!X49,0)</f>
        <v/>
      </c>
      <c r="Y51" s="18">
        <f>MAX('Vergi'!Y49,0)</f>
        <v/>
      </c>
      <c r="Z51" s="18">
        <f>MAX('Vergi'!Z49,0)</f>
        <v/>
      </c>
      <c r="AA51" s="18">
        <f>MAX('Vergi'!AA49,0)</f>
        <v/>
      </c>
      <c r="AB51" s="18">
        <f>MAX('Vergi'!AB49,0)</f>
        <v/>
      </c>
      <c r="AC51" s="18">
        <f>MAX('Vergi'!AC49,0)</f>
        <v/>
      </c>
      <c r="AD51" s="18">
        <f>MAX('Vergi'!AD49,0)</f>
        <v/>
      </c>
      <c r="AE51" s="18">
        <f>MAX('Vergi'!AE49,0)</f>
        <v/>
      </c>
      <c r="AF51" s="18">
        <f>MAX('Vergi'!AF49,0)</f>
        <v/>
      </c>
      <c r="AG51" s="18">
        <f>MAX('Vergi'!AG49,0)</f>
        <v/>
      </c>
      <c r="AH51" s="18">
        <f>MAX('Vergi'!AH49,0)</f>
        <v/>
      </c>
      <c r="AI51" s="18">
        <f>MAX('Vergi'!AI49,0)</f>
        <v/>
      </c>
      <c r="AJ51" s="18">
        <f>MAX('Vergi'!AJ49,0)</f>
        <v/>
      </c>
      <c r="AK51" s="18">
        <f>MAX('Vergi'!AK49,0)</f>
        <v/>
      </c>
      <c r="AL51" s="18">
        <f>MAX('Vergi'!AL49,0)</f>
        <v/>
      </c>
      <c r="AM51" s="18">
        <f>MAX('Vergi'!AM49,0)</f>
        <v/>
      </c>
      <c r="AN51" s="18">
        <f>MAX('Vergi'!AN49,0)</f>
        <v/>
      </c>
      <c r="AO51" s="18">
        <f>MAX('Vergi'!AO49,0)</f>
        <v/>
      </c>
      <c r="AP51" s="18">
        <f>MAX('Vergi'!AP49,0)</f>
        <v/>
      </c>
      <c r="AQ51" s="18">
        <f>MAX('Vergi'!AQ49,0)</f>
        <v/>
      </c>
      <c r="AR51" s="18">
        <f>MAX('Vergi'!AR49,0)</f>
        <v/>
      </c>
    </row>
    <row r="52">
      <c r="A52" s="27" t="inlineStr">
        <is>
          <t>FIFO mahsup matrisi: satır = zararın doğduğu işletme yılı v, hücre = o yıl kullanılan tutar (v+1 … v+5)</t>
        </is>
      </c>
    </row>
    <row r="53">
      <c r="A53" t="inlineStr">
        <is>
          <t>Zarar yılı 1 — kullanım</t>
        </is>
      </c>
      <c r="B53" t="inlineStr">
        <is>
          <t>USD</t>
        </is>
      </c>
      <c r="F53" s="18">
        <f>IF(AND('Zaman'!F9&gt;1,'Zaman'!F9-1&lt;=5),MIN(INDEX('Vergi'!$F$50:$AR$50,MATCH(1,'Zaman'!$F$9:$AR$9,0))-0,MAX(0,'Vergi'!F51-0)),0)</f>
        <v/>
      </c>
      <c r="G53" s="18">
        <f>IF(AND('Zaman'!G9&gt;1,'Zaman'!G9-1&lt;=5),MIN(INDEX('Vergi'!$F$50:$AR$50,MATCH(1,'Zaman'!$F$9:$AR$9,0))-SUM(F53:F53),MAX(0,'Vergi'!G51-0)),0)</f>
        <v/>
      </c>
      <c r="H53" s="18">
        <f>IF(AND('Zaman'!H9&gt;1,'Zaman'!H9-1&lt;=5),MIN(INDEX('Vergi'!$F$50:$AR$50,MATCH(1,'Zaman'!$F$9:$AR$9,0))-SUM(F53:G53),MAX(0,'Vergi'!H51-0)),0)</f>
        <v/>
      </c>
      <c r="I53" s="18">
        <f>IF(AND('Zaman'!I9&gt;1,'Zaman'!I9-1&lt;=5),MIN(INDEX('Vergi'!$F$50:$AR$50,MATCH(1,'Zaman'!$F$9:$AR$9,0))-SUM(F53:H53),MAX(0,'Vergi'!I51-0)),0)</f>
        <v/>
      </c>
      <c r="J53" s="18">
        <f>IF(AND('Zaman'!J9&gt;1,'Zaman'!J9-1&lt;=5),MIN(INDEX('Vergi'!$F$50:$AR$50,MATCH(1,'Zaman'!$F$9:$AR$9,0))-SUM(F53:I53),MAX(0,'Vergi'!J51-0)),0)</f>
        <v/>
      </c>
      <c r="K53" s="18">
        <f>IF(AND('Zaman'!K9&gt;1,'Zaman'!K9-1&lt;=5),MIN(INDEX('Vergi'!$F$50:$AR$50,MATCH(1,'Zaman'!$F$9:$AR$9,0))-SUM(F53:J53),MAX(0,'Vergi'!K51-0)),0)</f>
        <v/>
      </c>
      <c r="L53" s="18">
        <f>IF(AND('Zaman'!L9&gt;1,'Zaman'!L9-1&lt;=5),MIN(INDEX('Vergi'!$F$50:$AR$50,MATCH(1,'Zaman'!$F$9:$AR$9,0))-SUM(F53:K53),MAX(0,'Vergi'!L51-0)),0)</f>
        <v/>
      </c>
      <c r="M53" s="18">
        <f>IF(AND('Zaman'!M9&gt;1,'Zaman'!M9-1&lt;=5),MIN(INDEX('Vergi'!$F$50:$AR$50,MATCH(1,'Zaman'!$F$9:$AR$9,0))-SUM(F53:L53),MAX(0,'Vergi'!M51-0)),0)</f>
        <v/>
      </c>
      <c r="N53" s="18">
        <f>IF(AND('Zaman'!N9&gt;1,'Zaman'!N9-1&lt;=5),MIN(INDEX('Vergi'!$F$50:$AR$50,MATCH(1,'Zaman'!$F$9:$AR$9,0))-SUM(F53:M53),MAX(0,'Vergi'!N51-0)),0)</f>
        <v/>
      </c>
      <c r="O53" s="18">
        <f>IF(AND('Zaman'!O9&gt;1,'Zaman'!O9-1&lt;=5),MIN(INDEX('Vergi'!$F$50:$AR$50,MATCH(1,'Zaman'!$F$9:$AR$9,0))-SUM(F53:N53),MAX(0,'Vergi'!O51-0)),0)</f>
        <v/>
      </c>
      <c r="P53" s="18">
        <f>IF(AND('Zaman'!P9&gt;1,'Zaman'!P9-1&lt;=5),MIN(INDEX('Vergi'!$F$50:$AR$50,MATCH(1,'Zaman'!$F$9:$AR$9,0))-SUM(F53:O53),MAX(0,'Vergi'!P51-0)),0)</f>
        <v/>
      </c>
      <c r="Q53" s="18">
        <f>IF(AND('Zaman'!Q9&gt;1,'Zaman'!Q9-1&lt;=5),MIN(INDEX('Vergi'!$F$50:$AR$50,MATCH(1,'Zaman'!$F$9:$AR$9,0))-SUM(F53:P53),MAX(0,'Vergi'!Q51-0)),0)</f>
        <v/>
      </c>
      <c r="R53" s="18">
        <f>IF(AND('Zaman'!R9&gt;1,'Zaman'!R9-1&lt;=5),MIN(INDEX('Vergi'!$F$50:$AR$50,MATCH(1,'Zaman'!$F$9:$AR$9,0))-SUM(F53:Q53),MAX(0,'Vergi'!R51-0)),0)</f>
        <v/>
      </c>
      <c r="S53" s="18">
        <f>IF(AND('Zaman'!S9&gt;1,'Zaman'!S9-1&lt;=5),MIN(INDEX('Vergi'!$F$50:$AR$50,MATCH(1,'Zaman'!$F$9:$AR$9,0))-SUM(F53:R53),MAX(0,'Vergi'!S51-0)),0)</f>
        <v/>
      </c>
      <c r="T53" s="18">
        <f>IF(AND('Zaman'!T9&gt;1,'Zaman'!T9-1&lt;=5),MIN(INDEX('Vergi'!$F$50:$AR$50,MATCH(1,'Zaman'!$F$9:$AR$9,0))-SUM(F53:S53),MAX(0,'Vergi'!T51-0)),0)</f>
        <v/>
      </c>
      <c r="U53" s="18">
        <f>IF(AND('Zaman'!U9&gt;1,'Zaman'!U9-1&lt;=5),MIN(INDEX('Vergi'!$F$50:$AR$50,MATCH(1,'Zaman'!$F$9:$AR$9,0))-SUM(F53:T53),MAX(0,'Vergi'!U51-0)),0)</f>
        <v/>
      </c>
      <c r="V53" s="18">
        <f>IF(AND('Zaman'!V9&gt;1,'Zaman'!V9-1&lt;=5),MIN(INDEX('Vergi'!$F$50:$AR$50,MATCH(1,'Zaman'!$F$9:$AR$9,0))-SUM(F53:U53),MAX(0,'Vergi'!V51-0)),0)</f>
        <v/>
      </c>
      <c r="W53" s="18">
        <f>IF(AND('Zaman'!W9&gt;1,'Zaman'!W9-1&lt;=5),MIN(INDEX('Vergi'!$F$50:$AR$50,MATCH(1,'Zaman'!$F$9:$AR$9,0))-SUM(F53:V53),MAX(0,'Vergi'!W51-0)),0)</f>
        <v/>
      </c>
      <c r="X53" s="18">
        <f>IF(AND('Zaman'!X9&gt;1,'Zaman'!X9-1&lt;=5),MIN(INDEX('Vergi'!$F$50:$AR$50,MATCH(1,'Zaman'!$F$9:$AR$9,0))-SUM(F53:W53),MAX(0,'Vergi'!X51-0)),0)</f>
        <v/>
      </c>
      <c r="Y53" s="18">
        <f>IF(AND('Zaman'!Y9&gt;1,'Zaman'!Y9-1&lt;=5),MIN(INDEX('Vergi'!$F$50:$AR$50,MATCH(1,'Zaman'!$F$9:$AR$9,0))-SUM(F53:X53),MAX(0,'Vergi'!Y51-0)),0)</f>
        <v/>
      </c>
      <c r="Z53" s="18">
        <f>IF(AND('Zaman'!Z9&gt;1,'Zaman'!Z9-1&lt;=5),MIN(INDEX('Vergi'!$F$50:$AR$50,MATCH(1,'Zaman'!$F$9:$AR$9,0))-SUM(F53:Y53),MAX(0,'Vergi'!Z51-0)),0)</f>
        <v/>
      </c>
      <c r="AA53" s="18">
        <f>IF(AND('Zaman'!AA9&gt;1,'Zaman'!AA9-1&lt;=5),MIN(INDEX('Vergi'!$F$50:$AR$50,MATCH(1,'Zaman'!$F$9:$AR$9,0))-SUM(F53:Z53),MAX(0,'Vergi'!AA51-0)),0)</f>
        <v/>
      </c>
      <c r="AB53" s="18">
        <f>IF(AND('Zaman'!AB9&gt;1,'Zaman'!AB9-1&lt;=5),MIN(INDEX('Vergi'!$F$50:$AR$50,MATCH(1,'Zaman'!$F$9:$AR$9,0))-SUM(F53:AA53),MAX(0,'Vergi'!AB51-0)),0)</f>
        <v/>
      </c>
      <c r="AC53" s="18">
        <f>IF(AND('Zaman'!AC9&gt;1,'Zaman'!AC9-1&lt;=5),MIN(INDEX('Vergi'!$F$50:$AR$50,MATCH(1,'Zaman'!$F$9:$AR$9,0))-SUM(F53:AB53),MAX(0,'Vergi'!AC51-0)),0)</f>
        <v/>
      </c>
      <c r="AD53" s="18">
        <f>IF(AND('Zaman'!AD9&gt;1,'Zaman'!AD9-1&lt;=5),MIN(INDEX('Vergi'!$F$50:$AR$50,MATCH(1,'Zaman'!$F$9:$AR$9,0))-SUM(F53:AC53),MAX(0,'Vergi'!AD51-0)),0)</f>
        <v/>
      </c>
      <c r="AE53" s="18">
        <f>IF(AND('Zaman'!AE9&gt;1,'Zaman'!AE9-1&lt;=5),MIN(INDEX('Vergi'!$F$50:$AR$50,MATCH(1,'Zaman'!$F$9:$AR$9,0))-SUM(F53:AD53),MAX(0,'Vergi'!AE51-0)),0)</f>
        <v/>
      </c>
      <c r="AF53" s="18">
        <f>IF(AND('Zaman'!AF9&gt;1,'Zaman'!AF9-1&lt;=5),MIN(INDEX('Vergi'!$F$50:$AR$50,MATCH(1,'Zaman'!$F$9:$AR$9,0))-SUM(F53:AE53),MAX(0,'Vergi'!AF51-0)),0)</f>
        <v/>
      </c>
      <c r="AG53" s="18">
        <f>IF(AND('Zaman'!AG9&gt;1,'Zaman'!AG9-1&lt;=5),MIN(INDEX('Vergi'!$F$50:$AR$50,MATCH(1,'Zaman'!$F$9:$AR$9,0))-SUM(F53:AF53),MAX(0,'Vergi'!AG51-0)),0)</f>
        <v/>
      </c>
      <c r="AH53" s="18">
        <f>IF(AND('Zaman'!AH9&gt;1,'Zaman'!AH9-1&lt;=5),MIN(INDEX('Vergi'!$F$50:$AR$50,MATCH(1,'Zaman'!$F$9:$AR$9,0))-SUM(F53:AG53),MAX(0,'Vergi'!AH51-0)),0)</f>
        <v/>
      </c>
      <c r="AI53" s="18">
        <f>IF(AND('Zaman'!AI9&gt;1,'Zaman'!AI9-1&lt;=5),MIN(INDEX('Vergi'!$F$50:$AR$50,MATCH(1,'Zaman'!$F$9:$AR$9,0))-SUM(F53:AH53),MAX(0,'Vergi'!AI51-0)),0)</f>
        <v/>
      </c>
      <c r="AJ53" s="18">
        <f>IF(AND('Zaman'!AJ9&gt;1,'Zaman'!AJ9-1&lt;=5),MIN(INDEX('Vergi'!$F$50:$AR$50,MATCH(1,'Zaman'!$F$9:$AR$9,0))-SUM(F53:AI53),MAX(0,'Vergi'!AJ51-0)),0)</f>
        <v/>
      </c>
      <c r="AK53" s="18">
        <f>IF(AND('Zaman'!AK9&gt;1,'Zaman'!AK9-1&lt;=5),MIN(INDEX('Vergi'!$F$50:$AR$50,MATCH(1,'Zaman'!$F$9:$AR$9,0))-SUM(F53:AJ53),MAX(0,'Vergi'!AK51-0)),0)</f>
        <v/>
      </c>
      <c r="AL53" s="18">
        <f>IF(AND('Zaman'!AL9&gt;1,'Zaman'!AL9-1&lt;=5),MIN(INDEX('Vergi'!$F$50:$AR$50,MATCH(1,'Zaman'!$F$9:$AR$9,0))-SUM(F53:AK53),MAX(0,'Vergi'!AL51-0)),0)</f>
        <v/>
      </c>
      <c r="AM53" s="18">
        <f>IF(AND('Zaman'!AM9&gt;1,'Zaman'!AM9-1&lt;=5),MIN(INDEX('Vergi'!$F$50:$AR$50,MATCH(1,'Zaman'!$F$9:$AR$9,0))-SUM(F53:AL53),MAX(0,'Vergi'!AM51-0)),0)</f>
        <v/>
      </c>
      <c r="AN53" s="18">
        <f>IF(AND('Zaman'!AN9&gt;1,'Zaman'!AN9-1&lt;=5),MIN(INDEX('Vergi'!$F$50:$AR$50,MATCH(1,'Zaman'!$F$9:$AR$9,0))-SUM(F53:AM53),MAX(0,'Vergi'!AN51-0)),0)</f>
        <v/>
      </c>
      <c r="AO53" s="18">
        <f>IF(AND('Zaman'!AO9&gt;1,'Zaman'!AO9-1&lt;=5),MIN(INDEX('Vergi'!$F$50:$AR$50,MATCH(1,'Zaman'!$F$9:$AR$9,0))-SUM(F53:AN53),MAX(0,'Vergi'!AO51-0)),0)</f>
        <v/>
      </c>
      <c r="AP53" s="18">
        <f>IF(AND('Zaman'!AP9&gt;1,'Zaman'!AP9-1&lt;=5),MIN(INDEX('Vergi'!$F$50:$AR$50,MATCH(1,'Zaman'!$F$9:$AR$9,0))-SUM(F53:AO53),MAX(0,'Vergi'!AP51-0)),0)</f>
        <v/>
      </c>
      <c r="AQ53" s="18">
        <f>IF(AND('Zaman'!AQ9&gt;1,'Zaman'!AQ9-1&lt;=5),MIN(INDEX('Vergi'!$F$50:$AR$50,MATCH(1,'Zaman'!$F$9:$AR$9,0))-SUM(F53:AP53),MAX(0,'Vergi'!AQ51-0)),0)</f>
        <v/>
      </c>
      <c r="AR53" s="18">
        <f>IF(AND('Zaman'!AR9&gt;1,'Zaman'!AR9-1&lt;=5),MIN(INDEX('Vergi'!$F$50:$AR$50,MATCH(1,'Zaman'!$F$9:$AR$9,0))-SUM(F53:AQ53),MAX(0,'Vergi'!AR51-0)),0)</f>
        <v/>
      </c>
    </row>
    <row r="54">
      <c r="A54" t="inlineStr">
        <is>
          <t>Zarar yılı 2 — kullanım</t>
        </is>
      </c>
      <c r="B54" t="inlineStr">
        <is>
          <t>USD</t>
        </is>
      </c>
      <c r="F54" s="18">
        <f>IF(AND('Zaman'!F9&gt;2,'Zaman'!F9-2&lt;=5),MIN(INDEX('Vergi'!$F$50:$AR$50,MATCH(2,'Zaman'!$F$9:$AR$9,0))-0,MAX(0,'Vergi'!F51-SUM(F53:F53))),0)</f>
        <v/>
      </c>
      <c r="G54" s="18">
        <f>IF(AND('Zaman'!G9&gt;2,'Zaman'!G9-2&lt;=5),MIN(INDEX('Vergi'!$F$50:$AR$50,MATCH(2,'Zaman'!$F$9:$AR$9,0))-SUM(F54:F54),MAX(0,'Vergi'!G51-SUM(G53:G53))),0)</f>
        <v/>
      </c>
      <c r="H54" s="18">
        <f>IF(AND('Zaman'!H9&gt;2,'Zaman'!H9-2&lt;=5),MIN(INDEX('Vergi'!$F$50:$AR$50,MATCH(2,'Zaman'!$F$9:$AR$9,0))-SUM(F54:G54),MAX(0,'Vergi'!H51-SUM(H53:H53))),0)</f>
        <v/>
      </c>
      <c r="I54" s="18">
        <f>IF(AND('Zaman'!I9&gt;2,'Zaman'!I9-2&lt;=5),MIN(INDEX('Vergi'!$F$50:$AR$50,MATCH(2,'Zaman'!$F$9:$AR$9,0))-SUM(F54:H54),MAX(0,'Vergi'!I51-SUM(I53:I53))),0)</f>
        <v/>
      </c>
      <c r="J54" s="18">
        <f>IF(AND('Zaman'!J9&gt;2,'Zaman'!J9-2&lt;=5),MIN(INDEX('Vergi'!$F$50:$AR$50,MATCH(2,'Zaman'!$F$9:$AR$9,0))-SUM(F54:I54),MAX(0,'Vergi'!J51-SUM(J53:J53))),0)</f>
        <v/>
      </c>
      <c r="K54" s="18">
        <f>IF(AND('Zaman'!K9&gt;2,'Zaman'!K9-2&lt;=5),MIN(INDEX('Vergi'!$F$50:$AR$50,MATCH(2,'Zaman'!$F$9:$AR$9,0))-SUM(F54:J54),MAX(0,'Vergi'!K51-SUM(K53:K53))),0)</f>
        <v/>
      </c>
      <c r="L54" s="18">
        <f>IF(AND('Zaman'!L9&gt;2,'Zaman'!L9-2&lt;=5),MIN(INDEX('Vergi'!$F$50:$AR$50,MATCH(2,'Zaman'!$F$9:$AR$9,0))-SUM(F54:K54),MAX(0,'Vergi'!L51-SUM(L53:L53))),0)</f>
        <v/>
      </c>
      <c r="M54" s="18">
        <f>IF(AND('Zaman'!M9&gt;2,'Zaman'!M9-2&lt;=5),MIN(INDEX('Vergi'!$F$50:$AR$50,MATCH(2,'Zaman'!$F$9:$AR$9,0))-SUM(F54:L54),MAX(0,'Vergi'!M51-SUM(M53:M53))),0)</f>
        <v/>
      </c>
      <c r="N54" s="18">
        <f>IF(AND('Zaman'!N9&gt;2,'Zaman'!N9-2&lt;=5),MIN(INDEX('Vergi'!$F$50:$AR$50,MATCH(2,'Zaman'!$F$9:$AR$9,0))-SUM(F54:M54),MAX(0,'Vergi'!N51-SUM(N53:N53))),0)</f>
        <v/>
      </c>
      <c r="O54" s="18">
        <f>IF(AND('Zaman'!O9&gt;2,'Zaman'!O9-2&lt;=5),MIN(INDEX('Vergi'!$F$50:$AR$50,MATCH(2,'Zaman'!$F$9:$AR$9,0))-SUM(F54:N54),MAX(0,'Vergi'!O51-SUM(O53:O53))),0)</f>
        <v/>
      </c>
      <c r="P54" s="18">
        <f>IF(AND('Zaman'!P9&gt;2,'Zaman'!P9-2&lt;=5),MIN(INDEX('Vergi'!$F$50:$AR$50,MATCH(2,'Zaman'!$F$9:$AR$9,0))-SUM(F54:O54),MAX(0,'Vergi'!P51-SUM(P53:P53))),0)</f>
        <v/>
      </c>
      <c r="Q54" s="18">
        <f>IF(AND('Zaman'!Q9&gt;2,'Zaman'!Q9-2&lt;=5),MIN(INDEX('Vergi'!$F$50:$AR$50,MATCH(2,'Zaman'!$F$9:$AR$9,0))-SUM(F54:P54),MAX(0,'Vergi'!Q51-SUM(Q53:Q53))),0)</f>
        <v/>
      </c>
      <c r="R54" s="18">
        <f>IF(AND('Zaman'!R9&gt;2,'Zaman'!R9-2&lt;=5),MIN(INDEX('Vergi'!$F$50:$AR$50,MATCH(2,'Zaman'!$F$9:$AR$9,0))-SUM(F54:Q54),MAX(0,'Vergi'!R51-SUM(R53:R53))),0)</f>
        <v/>
      </c>
      <c r="S54" s="18">
        <f>IF(AND('Zaman'!S9&gt;2,'Zaman'!S9-2&lt;=5),MIN(INDEX('Vergi'!$F$50:$AR$50,MATCH(2,'Zaman'!$F$9:$AR$9,0))-SUM(F54:R54),MAX(0,'Vergi'!S51-SUM(S53:S53))),0)</f>
        <v/>
      </c>
      <c r="T54" s="18">
        <f>IF(AND('Zaman'!T9&gt;2,'Zaman'!T9-2&lt;=5),MIN(INDEX('Vergi'!$F$50:$AR$50,MATCH(2,'Zaman'!$F$9:$AR$9,0))-SUM(F54:S54),MAX(0,'Vergi'!T51-SUM(T53:T53))),0)</f>
        <v/>
      </c>
      <c r="U54" s="18">
        <f>IF(AND('Zaman'!U9&gt;2,'Zaman'!U9-2&lt;=5),MIN(INDEX('Vergi'!$F$50:$AR$50,MATCH(2,'Zaman'!$F$9:$AR$9,0))-SUM(F54:T54),MAX(0,'Vergi'!U51-SUM(U53:U53))),0)</f>
        <v/>
      </c>
      <c r="V54" s="18">
        <f>IF(AND('Zaman'!V9&gt;2,'Zaman'!V9-2&lt;=5),MIN(INDEX('Vergi'!$F$50:$AR$50,MATCH(2,'Zaman'!$F$9:$AR$9,0))-SUM(F54:U54),MAX(0,'Vergi'!V51-SUM(V53:V53))),0)</f>
        <v/>
      </c>
      <c r="W54" s="18">
        <f>IF(AND('Zaman'!W9&gt;2,'Zaman'!W9-2&lt;=5),MIN(INDEX('Vergi'!$F$50:$AR$50,MATCH(2,'Zaman'!$F$9:$AR$9,0))-SUM(F54:V54),MAX(0,'Vergi'!W51-SUM(W53:W53))),0)</f>
        <v/>
      </c>
      <c r="X54" s="18">
        <f>IF(AND('Zaman'!X9&gt;2,'Zaman'!X9-2&lt;=5),MIN(INDEX('Vergi'!$F$50:$AR$50,MATCH(2,'Zaman'!$F$9:$AR$9,0))-SUM(F54:W54),MAX(0,'Vergi'!X51-SUM(X53:X53))),0)</f>
        <v/>
      </c>
      <c r="Y54" s="18">
        <f>IF(AND('Zaman'!Y9&gt;2,'Zaman'!Y9-2&lt;=5),MIN(INDEX('Vergi'!$F$50:$AR$50,MATCH(2,'Zaman'!$F$9:$AR$9,0))-SUM(F54:X54),MAX(0,'Vergi'!Y51-SUM(Y53:Y53))),0)</f>
        <v/>
      </c>
      <c r="Z54" s="18">
        <f>IF(AND('Zaman'!Z9&gt;2,'Zaman'!Z9-2&lt;=5),MIN(INDEX('Vergi'!$F$50:$AR$50,MATCH(2,'Zaman'!$F$9:$AR$9,0))-SUM(F54:Y54),MAX(0,'Vergi'!Z51-SUM(Z53:Z53))),0)</f>
        <v/>
      </c>
      <c r="AA54" s="18">
        <f>IF(AND('Zaman'!AA9&gt;2,'Zaman'!AA9-2&lt;=5),MIN(INDEX('Vergi'!$F$50:$AR$50,MATCH(2,'Zaman'!$F$9:$AR$9,0))-SUM(F54:Z54),MAX(0,'Vergi'!AA51-SUM(AA53:AA53))),0)</f>
        <v/>
      </c>
      <c r="AB54" s="18">
        <f>IF(AND('Zaman'!AB9&gt;2,'Zaman'!AB9-2&lt;=5),MIN(INDEX('Vergi'!$F$50:$AR$50,MATCH(2,'Zaman'!$F$9:$AR$9,0))-SUM(F54:AA54),MAX(0,'Vergi'!AB51-SUM(AB53:AB53))),0)</f>
        <v/>
      </c>
      <c r="AC54" s="18">
        <f>IF(AND('Zaman'!AC9&gt;2,'Zaman'!AC9-2&lt;=5),MIN(INDEX('Vergi'!$F$50:$AR$50,MATCH(2,'Zaman'!$F$9:$AR$9,0))-SUM(F54:AB54),MAX(0,'Vergi'!AC51-SUM(AC53:AC53))),0)</f>
        <v/>
      </c>
      <c r="AD54" s="18">
        <f>IF(AND('Zaman'!AD9&gt;2,'Zaman'!AD9-2&lt;=5),MIN(INDEX('Vergi'!$F$50:$AR$50,MATCH(2,'Zaman'!$F$9:$AR$9,0))-SUM(F54:AC54),MAX(0,'Vergi'!AD51-SUM(AD53:AD53))),0)</f>
        <v/>
      </c>
      <c r="AE54" s="18">
        <f>IF(AND('Zaman'!AE9&gt;2,'Zaman'!AE9-2&lt;=5),MIN(INDEX('Vergi'!$F$50:$AR$50,MATCH(2,'Zaman'!$F$9:$AR$9,0))-SUM(F54:AD54),MAX(0,'Vergi'!AE51-SUM(AE53:AE53))),0)</f>
        <v/>
      </c>
      <c r="AF54" s="18">
        <f>IF(AND('Zaman'!AF9&gt;2,'Zaman'!AF9-2&lt;=5),MIN(INDEX('Vergi'!$F$50:$AR$50,MATCH(2,'Zaman'!$F$9:$AR$9,0))-SUM(F54:AE54),MAX(0,'Vergi'!AF51-SUM(AF53:AF53))),0)</f>
        <v/>
      </c>
      <c r="AG54" s="18">
        <f>IF(AND('Zaman'!AG9&gt;2,'Zaman'!AG9-2&lt;=5),MIN(INDEX('Vergi'!$F$50:$AR$50,MATCH(2,'Zaman'!$F$9:$AR$9,0))-SUM(F54:AF54),MAX(0,'Vergi'!AG51-SUM(AG53:AG53))),0)</f>
        <v/>
      </c>
      <c r="AH54" s="18">
        <f>IF(AND('Zaman'!AH9&gt;2,'Zaman'!AH9-2&lt;=5),MIN(INDEX('Vergi'!$F$50:$AR$50,MATCH(2,'Zaman'!$F$9:$AR$9,0))-SUM(F54:AG54),MAX(0,'Vergi'!AH51-SUM(AH53:AH53))),0)</f>
        <v/>
      </c>
      <c r="AI54" s="18">
        <f>IF(AND('Zaman'!AI9&gt;2,'Zaman'!AI9-2&lt;=5),MIN(INDEX('Vergi'!$F$50:$AR$50,MATCH(2,'Zaman'!$F$9:$AR$9,0))-SUM(F54:AH54),MAX(0,'Vergi'!AI51-SUM(AI53:AI53))),0)</f>
        <v/>
      </c>
      <c r="AJ54" s="18">
        <f>IF(AND('Zaman'!AJ9&gt;2,'Zaman'!AJ9-2&lt;=5),MIN(INDEX('Vergi'!$F$50:$AR$50,MATCH(2,'Zaman'!$F$9:$AR$9,0))-SUM(F54:AI54),MAX(0,'Vergi'!AJ51-SUM(AJ53:AJ53))),0)</f>
        <v/>
      </c>
      <c r="AK54" s="18">
        <f>IF(AND('Zaman'!AK9&gt;2,'Zaman'!AK9-2&lt;=5),MIN(INDEX('Vergi'!$F$50:$AR$50,MATCH(2,'Zaman'!$F$9:$AR$9,0))-SUM(F54:AJ54),MAX(0,'Vergi'!AK51-SUM(AK53:AK53))),0)</f>
        <v/>
      </c>
      <c r="AL54" s="18">
        <f>IF(AND('Zaman'!AL9&gt;2,'Zaman'!AL9-2&lt;=5),MIN(INDEX('Vergi'!$F$50:$AR$50,MATCH(2,'Zaman'!$F$9:$AR$9,0))-SUM(F54:AK54),MAX(0,'Vergi'!AL51-SUM(AL53:AL53))),0)</f>
        <v/>
      </c>
      <c r="AM54" s="18">
        <f>IF(AND('Zaman'!AM9&gt;2,'Zaman'!AM9-2&lt;=5),MIN(INDEX('Vergi'!$F$50:$AR$50,MATCH(2,'Zaman'!$F$9:$AR$9,0))-SUM(F54:AL54),MAX(0,'Vergi'!AM51-SUM(AM53:AM53))),0)</f>
        <v/>
      </c>
      <c r="AN54" s="18">
        <f>IF(AND('Zaman'!AN9&gt;2,'Zaman'!AN9-2&lt;=5),MIN(INDEX('Vergi'!$F$50:$AR$50,MATCH(2,'Zaman'!$F$9:$AR$9,0))-SUM(F54:AM54),MAX(0,'Vergi'!AN51-SUM(AN53:AN53))),0)</f>
        <v/>
      </c>
      <c r="AO54" s="18">
        <f>IF(AND('Zaman'!AO9&gt;2,'Zaman'!AO9-2&lt;=5),MIN(INDEX('Vergi'!$F$50:$AR$50,MATCH(2,'Zaman'!$F$9:$AR$9,0))-SUM(F54:AN54),MAX(0,'Vergi'!AO51-SUM(AO53:AO53))),0)</f>
        <v/>
      </c>
      <c r="AP54" s="18">
        <f>IF(AND('Zaman'!AP9&gt;2,'Zaman'!AP9-2&lt;=5),MIN(INDEX('Vergi'!$F$50:$AR$50,MATCH(2,'Zaman'!$F$9:$AR$9,0))-SUM(F54:AO54),MAX(0,'Vergi'!AP51-SUM(AP53:AP53))),0)</f>
        <v/>
      </c>
      <c r="AQ54" s="18">
        <f>IF(AND('Zaman'!AQ9&gt;2,'Zaman'!AQ9-2&lt;=5),MIN(INDEX('Vergi'!$F$50:$AR$50,MATCH(2,'Zaman'!$F$9:$AR$9,0))-SUM(F54:AP54),MAX(0,'Vergi'!AQ51-SUM(AQ53:AQ53))),0)</f>
        <v/>
      </c>
      <c r="AR54" s="18">
        <f>IF(AND('Zaman'!AR9&gt;2,'Zaman'!AR9-2&lt;=5),MIN(INDEX('Vergi'!$F$50:$AR$50,MATCH(2,'Zaman'!$F$9:$AR$9,0))-SUM(F54:AQ54),MAX(0,'Vergi'!AR51-SUM(AR53:AR53))),0)</f>
        <v/>
      </c>
    </row>
    <row r="55">
      <c r="A55" t="inlineStr">
        <is>
          <t>Zarar yılı 3 — kullanım</t>
        </is>
      </c>
      <c r="B55" t="inlineStr">
        <is>
          <t>USD</t>
        </is>
      </c>
      <c r="F55" s="18">
        <f>IF(AND('Zaman'!F9&gt;3,'Zaman'!F9-3&lt;=5),MIN(INDEX('Vergi'!$F$50:$AR$50,MATCH(3,'Zaman'!$F$9:$AR$9,0))-0,MAX(0,'Vergi'!F51-SUM(F53:F54))),0)</f>
        <v/>
      </c>
      <c r="G55" s="18">
        <f>IF(AND('Zaman'!G9&gt;3,'Zaman'!G9-3&lt;=5),MIN(INDEX('Vergi'!$F$50:$AR$50,MATCH(3,'Zaman'!$F$9:$AR$9,0))-SUM(F55:F55),MAX(0,'Vergi'!G51-SUM(G53:G54))),0)</f>
        <v/>
      </c>
      <c r="H55" s="18">
        <f>IF(AND('Zaman'!H9&gt;3,'Zaman'!H9-3&lt;=5),MIN(INDEX('Vergi'!$F$50:$AR$50,MATCH(3,'Zaman'!$F$9:$AR$9,0))-SUM(F55:G55),MAX(0,'Vergi'!H51-SUM(H53:H54))),0)</f>
        <v/>
      </c>
      <c r="I55" s="18">
        <f>IF(AND('Zaman'!I9&gt;3,'Zaman'!I9-3&lt;=5),MIN(INDEX('Vergi'!$F$50:$AR$50,MATCH(3,'Zaman'!$F$9:$AR$9,0))-SUM(F55:H55),MAX(0,'Vergi'!I51-SUM(I53:I54))),0)</f>
        <v/>
      </c>
      <c r="J55" s="18">
        <f>IF(AND('Zaman'!J9&gt;3,'Zaman'!J9-3&lt;=5),MIN(INDEX('Vergi'!$F$50:$AR$50,MATCH(3,'Zaman'!$F$9:$AR$9,0))-SUM(F55:I55),MAX(0,'Vergi'!J51-SUM(J53:J54))),0)</f>
        <v/>
      </c>
      <c r="K55" s="18">
        <f>IF(AND('Zaman'!K9&gt;3,'Zaman'!K9-3&lt;=5),MIN(INDEX('Vergi'!$F$50:$AR$50,MATCH(3,'Zaman'!$F$9:$AR$9,0))-SUM(F55:J55),MAX(0,'Vergi'!K51-SUM(K53:K54))),0)</f>
        <v/>
      </c>
      <c r="L55" s="18">
        <f>IF(AND('Zaman'!L9&gt;3,'Zaman'!L9-3&lt;=5),MIN(INDEX('Vergi'!$F$50:$AR$50,MATCH(3,'Zaman'!$F$9:$AR$9,0))-SUM(F55:K55),MAX(0,'Vergi'!L51-SUM(L53:L54))),0)</f>
        <v/>
      </c>
      <c r="M55" s="18">
        <f>IF(AND('Zaman'!M9&gt;3,'Zaman'!M9-3&lt;=5),MIN(INDEX('Vergi'!$F$50:$AR$50,MATCH(3,'Zaman'!$F$9:$AR$9,0))-SUM(F55:L55),MAX(0,'Vergi'!M51-SUM(M53:M54))),0)</f>
        <v/>
      </c>
      <c r="N55" s="18">
        <f>IF(AND('Zaman'!N9&gt;3,'Zaman'!N9-3&lt;=5),MIN(INDEX('Vergi'!$F$50:$AR$50,MATCH(3,'Zaman'!$F$9:$AR$9,0))-SUM(F55:M55),MAX(0,'Vergi'!N51-SUM(N53:N54))),0)</f>
        <v/>
      </c>
      <c r="O55" s="18">
        <f>IF(AND('Zaman'!O9&gt;3,'Zaman'!O9-3&lt;=5),MIN(INDEX('Vergi'!$F$50:$AR$50,MATCH(3,'Zaman'!$F$9:$AR$9,0))-SUM(F55:N55),MAX(0,'Vergi'!O51-SUM(O53:O54))),0)</f>
        <v/>
      </c>
      <c r="P55" s="18">
        <f>IF(AND('Zaman'!P9&gt;3,'Zaman'!P9-3&lt;=5),MIN(INDEX('Vergi'!$F$50:$AR$50,MATCH(3,'Zaman'!$F$9:$AR$9,0))-SUM(F55:O55),MAX(0,'Vergi'!P51-SUM(P53:P54))),0)</f>
        <v/>
      </c>
      <c r="Q55" s="18">
        <f>IF(AND('Zaman'!Q9&gt;3,'Zaman'!Q9-3&lt;=5),MIN(INDEX('Vergi'!$F$50:$AR$50,MATCH(3,'Zaman'!$F$9:$AR$9,0))-SUM(F55:P55),MAX(0,'Vergi'!Q51-SUM(Q53:Q54))),0)</f>
        <v/>
      </c>
      <c r="R55" s="18">
        <f>IF(AND('Zaman'!R9&gt;3,'Zaman'!R9-3&lt;=5),MIN(INDEX('Vergi'!$F$50:$AR$50,MATCH(3,'Zaman'!$F$9:$AR$9,0))-SUM(F55:Q55),MAX(0,'Vergi'!R51-SUM(R53:R54))),0)</f>
        <v/>
      </c>
      <c r="S55" s="18">
        <f>IF(AND('Zaman'!S9&gt;3,'Zaman'!S9-3&lt;=5),MIN(INDEX('Vergi'!$F$50:$AR$50,MATCH(3,'Zaman'!$F$9:$AR$9,0))-SUM(F55:R55),MAX(0,'Vergi'!S51-SUM(S53:S54))),0)</f>
        <v/>
      </c>
      <c r="T55" s="18">
        <f>IF(AND('Zaman'!T9&gt;3,'Zaman'!T9-3&lt;=5),MIN(INDEX('Vergi'!$F$50:$AR$50,MATCH(3,'Zaman'!$F$9:$AR$9,0))-SUM(F55:S55),MAX(0,'Vergi'!T51-SUM(T53:T54))),0)</f>
        <v/>
      </c>
      <c r="U55" s="18">
        <f>IF(AND('Zaman'!U9&gt;3,'Zaman'!U9-3&lt;=5),MIN(INDEX('Vergi'!$F$50:$AR$50,MATCH(3,'Zaman'!$F$9:$AR$9,0))-SUM(F55:T55),MAX(0,'Vergi'!U51-SUM(U53:U54))),0)</f>
        <v/>
      </c>
      <c r="V55" s="18">
        <f>IF(AND('Zaman'!V9&gt;3,'Zaman'!V9-3&lt;=5),MIN(INDEX('Vergi'!$F$50:$AR$50,MATCH(3,'Zaman'!$F$9:$AR$9,0))-SUM(F55:U55),MAX(0,'Vergi'!V51-SUM(V53:V54))),0)</f>
        <v/>
      </c>
      <c r="W55" s="18">
        <f>IF(AND('Zaman'!W9&gt;3,'Zaman'!W9-3&lt;=5),MIN(INDEX('Vergi'!$F$50:$AR$50,MATCH(3,'Zaman'!$F$9:$AR$9,0))-SUM(F55:V55),MAX(0,'Vergi'!W51-SUM(W53:W54))),0)</f>
        <v/>
      </c>
      <c r="X55" s="18">
        <f>IF(AND('Zaman'!X9&gt;3,'Zaman'!X9-3&lt;=5),MIN(INDEX('Vergi'!$F$50:$AR$50,MATCH(3,'Zaman'!$F$9:$AR$9,0))-SUM(F55:W55),MAX(0,'Vergi'!X51-SUM(X53:X54))),0)</f>
        <v/>
      </c>
      <c r="Y55" s="18">
        <f>IF(AND('Zaman'!Y9&gt;3,'Zaman'!Y9-3&lt;=5),MIN(INDEX('Vergi'!$F$50:$AR$50,MATCH(3,'Zaman'!$F$9:$AR$9,0))-SUM(F55:X55),MAX(0,'Vergi'!Y51-SUM(Y53:Y54))),0)</f>
        <v/>
      </c>
      <c r="Z55" s="18">
        <f>IF(AND('Zaman'!Z9&gt;3,'Zaman'!Z9-3&lt;=5),MIN(INDEX('Vergi'!$F$50:$AR$50,MATCH(3,'Zaman'!$F$9:$AR$9,0))-SUM(F55:Y55),MAX(0,'Vergi'!Z51-SUM(Z53:Z54))),0)</f>
        <v/>
      </c>
      <c r="AA55" s="18">
        <f>IF(AND('Zaman'!AA9&gt;3,'Zaman'!AA9-3&lt;=5),MIN(INDEX('Vergi'!$F$50:$AR$50,MATCH(3,'Zaman'!$F$9:$AR$9,0))-SUM(F55:Z55),MAX(0,'Vergi'!AA51-SUM(AA53:AA54))),0)</f>
        <v/>
      </c>
      <c r="AB55" s="18">
        <f>IF(AND('Zaman'!AB9&gt;3,'Zaman'!AB9-3&lt;=5),MIN(INDEX('Vergi'!$F$50:$AR$50,MATCH(3,'Zaman'!$F$9:$AR$9,0))-SUM(F55:AA55),MAX(0,'Vergi'!AB51-SUM(AB53:AB54))),0)</f>
        <v/>
      </c>
      <c r="AC55" s="18">
        <f>IF(AND('Zaman'!AC9&gt;3,'Zaman'!AC9-3&lt;=5),MIN(INDEX('Vergi'!$F$50:$AR$50,MATCH(3,'Zaman'!$F$9:$AR$9,0))-SUM(F55:AB55),MAX(0,'Vergi'!AC51-SUM(AC53:AC54))),0)</f>
        <v/>
      </c>
      <c r="AD55" s="18">
        <f>IF(AND('Zaman'!AD9&gt;3,'Zaman'!AD9-3&lt;=5),MIN(INDEX('Vergi'!$F$50:$AR$50,MATCH(3,'Zaman'!$F$9:$AR$9,0))-SUM(F55:AC55),MAX(0,'Vergi'!AD51-SUM(AD53:AD54))),0)</f>
        <v/>
      </c>
      <c r="AE55" s="18">
        <f>IF(AND('Zaman'!AE9&gt;3,'Zaman'!AE9-3&lt;=5),MIN(INDEX('Vergi'!$F$50:$AR$50,MATCH(3,'Zaman'!$F$9:$AR$9,0))-SUM(F55:AD55),MAX(0,'Vergi'!AE51-SUM(AE53:AE54))),0)</f>
        <v/>
      </c>
      <c r="AF55" s="18">
        <f>IF(AND('Zaman'!AF9&gt;3,'Zaman'!AF9-3&lt;=5),MIN(INDEX('Vergi'!$F$50:$AR$50,MATCH(3,'Zaman'!$F$9:$AR$9,0))-SUM(F55:AE55),MAX(0,'Vergi'!AF51-SUM(AF53:AF54))),0)</f>
        <v/>
      </c>
      <c r="AG55" s="18">
        <f>IF(AND('Zaman'!AG9&gt;3,'Zaman'!AG9-3&lt;=5),MIN(INDEX('Vergi'!$F$50:$AR$50,MATCH(3,'Zaman'!$F$9:$AR$9,0))-SUM(F55:AF55),MAX(0,'Vergi'!AG51-SUM(AG53:AG54))),0)</f>
        <v/>
      </c>
      <c r="AH55" s="18">
        <f>IF(AND('Zaman'!AH9&gt;3,'Zaman'!AH9-3&lt;=5),MIN(INDEX('Vergi'!$F$50:$AR$50,MATCH(3,'Zaman'!$F$9:$AR$9,0))-SUM(F55:AG55),MAX(0,'Vergi'!AH51-SUM(AH53:AH54))),0)</f>
        <v/>
      </c>
      <c r="AI55" s="18">
        <f>IF(AND('Zaman'!AI9&gt;3,'Zaman'!AI9-3&lt;=5),MIN(INDEX('Vergi'!$F$50:$AR$50,MATCH(3,'Zaman'!$F$9:$AR$9,0))-SUM(F55:AH55),MAX(0,'Vergi'!AI51-SUM(AI53:AI54))),0)</f>
        <v/>
      </c>
      <c r="AJ55" s="18">
        <f>IF(AND('Zaman'!AJ9&gt;3,'Zaman'!AJ9-3&lt;=5),MIN(INDEX('Vergi'!$F$50:$AR$50,MATCH(3,'Zaman'!$F$9:$AR$9,0))-SUM(F55:AI55),MAX(0,'Vergi'!AJ51-SUM(AJ53:AJ54))),0)</f>
        <v/>
      </c>
      <c r="AK55" s="18">
        <f>IF(AND('Zaman'!AK9&gt;3,'Zaman'!AK9-3&lt;=5),MIN(INDEX('Vergi'!$F$50:$AR$50,MATCH(3,'Zaman'!$F$9:$AR$9,0))-SUM(F55:AJ55),MAX(0,'Vergi'!AK51-SUM(AK53:AK54))),0)</f>
        <v/>
      </c>
      <c r="AL55" s="18">
        <f>IF(AND('Zaman'!AL9&gt;3,'Zaman'!AL9-3&lt;=5),MIN(INDEX('Vergi'!$F$50:$AR$50,MATCH(3,'Zaman'!$F$9:$AR$9,0))-SUM(F55:AK55),MAX(0,'Vergi'!AL51-SUM(AL53:AL54))),0)</f>
        <v/>
      </c>
      <c r="AM55" s="18">
        <f>IF(AND('Zaman'!AM9&gt;3,'Zaman'!AM9-3&lt;=5),MIN(INDEX('Vergi'!$F$50:$AR$50,MATCH(3,'Zaman'!$F$9:$AR$9,0))-SUM(F55:AL55),MAX(0,'Vergi'!AM51-SUM(AM53:AM54))),0)</f>
        <v/>
      </c>
      <c r="AN55" s="18">
        <f>IF(AND('Zaman'!AN9&gt;3,'Zaman'!AN9-3&lt;=5),MIN(INDEX('Vergi'!$F$50:$AR$50,MATCH(3,'Zaman'!$F$9:$AR$9,0))-SUM(F55:AM55),MAX(0,'Vergi'!AN51-SUM(AN53:AN54))),0)</f>
        <v/>
      </c>
      <c r="AO55" s="18">
        <f>IF(AND('Zaman'!AO9&gt;3,'Zaman'!AO9-3&lt;=5),MIN(INDEX('Vergi'!$F$50:$AR$50,MATCH(3,'Zaman'!$F$9:$AR$9,0))-SUM(F55:AN55),MAX(0,'Vergi'!AO51-SUM(AO53:AO54))),0)</f>
        <v/>
      </c>
      <c r="AP55" s="18">
        <f>IF(AND('Zaman'!AP9&gt;3,'Zaman'!AP9-3&lt;=5),MIN(INDEX('Vergi'!$F$50:$AR$50,MATCH(3,'Zaman'!$F$9:$AR$9,0))-SUM(F55:AO55),MAX(0,'Vergi'!AP51-SUM(AP53:AP54))),0)</f>
        <v/>
      </c>
      <c r="AQ55" s="18">
        <f>IF(AND('Zaman'!AQ9&gt;3,'Zaman'!AQ9-3&lt;=5),MIN(INDEX('Vergi'!$F$50:$AR$50,MATCH(3,'Zaman'!$F$9:$AR$9,0))-SUM(F55:AP55),MAX(0,'Vergi'!AQ51-SUM(AQ53:AQ54))),0)</f>
        <v/>
      </c>
      <c r="AR55" s="18">
        <f>IF(AND('Zaman'!AR9&gt;3,'Zaman'!AR9-3&lt;=5),MIN(INDEX('Vergi'!$F$50:$AR$50,MATCH(3,'Zaman'!$F$9:$AR$9,0))-SUM(F55:AQ55),MAX(0,'Vergi'!AR51-SUM(AR53:AR54))),0)</f>
        <v/>
      </c>
    </row>
    <row r="56">
      <c r="A56" t="inlineStr">
        <is>
          <t>Zarar yılı 4 — kullanım</t>
        </is>
      </c>
      <c r="B56" t="inlineStr">
        <is>
          <t>USD</t>
        </is>
      </c>
      <c r="F56" s="18">
        <f>IF(AND('Zaman'!F9&gt;4,'Zaman'!F9-4&lt;=5),MIN(INDEX('Vergi'!$F$50:$AR$50,MATCH(4,'Zaman'!$F$9:$AR$9,0))-0,MAX(0,'Vergi'!F51-SUM(F53:F55))),0)</f>
        <v/>
      </c>
      <c r="G56" s="18">
        <f>IF(AND('Zaman'!G9&gt;4,'Zaman'!G9-4&lt;=5),MIN(INDEX('Vergi'!$F$50:$AR$50,MATCH(4,'Zaman'!$F$9:$AR$9,0))-SUM(F56:F56),MAX(0,'Vergi'!G51-SUM(G53:G55))),0)</f>
        <v/>
      </c>
      <c r="H56" s="18">
        <f>IF(AND('Zaman'!H9&gt;4,'Zaman'!H9-4&lt;=5),MIN(INDEX('Vergi'!$F$50:$AR$50,MATCH(4,'Zaman'!$F$9:$AR$9,0))-SUM(F56:G56),MAX(0,'Vergi'!H51-SUM(H53:H55))),0)</f>
        <v/>
      </c>
      <c r="I56" s="18">
        <f>IF(AND('Zaman'!I9&gt;4,'Zaman'!I9-4&lt;=5),MIN(INDEX('Vergi'!$F$50:$AR$50,MATCH(4,'Zaman'!$F$9:$AR$9,0))-SUM(F56:H56),MAX(0,'Vergi'!I51-SUM(I53:I55))),0)</f>
        <v/>
      </c>
      <c r="J56" s="18">
        <f>IF(AND('Zaman'!J9&gt;4,'Zaman'!J9-4&lt;=5),MIN(INDEX('Vergi'!$F$50:$AR$50,MATCH(4,'Zaman'!$F$9:$AR$9,0))-SUM(F56:I56),MAX(0,'Vergi'!J51-SUM(J53:J55))),0)</f>
        <v/>
      </c>
      <c r="K56" s="18">
        <f>IF(AND('Zaman'!K9&gt;4,'Zaman'!K9-4&lt;=5),MIN(INDEX('Vergi'!$F$50:$AR$50,MATCH(4,'Zaman'!$F$9:$AR$9,0))-SUM(F56:J56),MAX(0,'Vergi'!K51-SUM(K53:K55))),0)</f>
        <v/>
      </c>
      <c r="L56" s="18">
        <f>IF(AND('Zaman'!L9&gt;4,'Zaman'!L9-4&lt;=5),MIN(INDEX('Vergi'!$F$50:$AR$50,MATCH(4,'Zaman'!$F$9:$AR$9,0))-SUM(F56:K56),MAX(0,'Vergi'!L51-SUM(L53:L55))),0)</f>
        <v/>
      </c>
      <c r="M56" s="18">
        <f>IF(AND('Zaman'!M9&gt;4,'Zaman'!M9-4&lt;=5),MIN(INDEX('Vergi'!$F$50:$AR$50,MATCH(4,'Zaman'!$F$9:$AR$9,0))-SUM(F56:L56),MAX(0,'Vergi'!M51-SUM(M53:M55))),0)</f>
        <v/>
      </c>
      <c r="N56" s="18">
        <f>IF(AND('Zaman'!N9&gt;4,'Zaman'!N9-4&lt;=5),MIN(INDEX('Vergi'!$F$50:$AR$50,MATCH(4,'Zaman'!$F$9:$AR$9,0))-SUM(F56:M56),MAX(0,'Vergi'!N51-SUM(N53:N55))),0)</f>
        <v/>
      </c>
      <c r="O56" s="18">
        <f>IF(AND('Zaman'!O9&gt;4,'Zaman'!O9-4&lt;=5),MIN(INDEX('Vergi'!$F$50:$AR$50,MATCH(4,'Zaman'!$F$9:$AR$9,0))-SUM(F56:N56),MAX(0,'Vergi'!O51-SUM(O53:O55))),0)</f>
        <v/>
      </c>
      <c r="P56" s="18">
        <f>IF(AND('Zaman'!P9&gt;4,'Zaman'!P9-4&lt;=5),MIN(INDEX('Vergi'!$F$50:$AR$50,MATCH(4,'Zaman'!$F$9:$AR$9,0))-SUM(F56:O56),MAX(0,'Vergi'!P51-SUM(P53:P55))),0)</f>
        <v/>
      </c>
      <c r="Q56" s="18">
        <f>IF(AND('Zaman'!Q9&gt;4,'Zaman'!Q9-4&lt;=5),MIN(INDEX('Vergi'!$F$50:$AR$50,MATCH(4,'Zaman'!$F$9:$AR$9,0))-SUM(F56:P56),MAX(0,'Vergi'!Q51-SUM(Q53:Q55))),0)</f>
        <v/>
      </c>
      <c r="R56" s="18">
        <f>IF(AND('Zaman'!R9&gt;4,'Zaman'!R9-4&lt;=5),MIN(INDEX('Vergi'!$F$50:$AR$50,MATCH(4,'Zaman'!$F$9:$AR$9,0))-SUM(F56:Q56),MAX(0,'Vergi'!R51-SUM(R53:R55))),0)</f>
        <v/>
      </c>
      <c r="S56" s="18">
        <f>IF(AND('Zaman'!S9&gt;4,'Zaman'!S9-4&lt;=5),MIN(INDEX('Vergi'!$F$50:$AR$50,MATCH(4,'Zaman'!$F$9:$AR$9,0))-SUM(F56:R56),MAX(0,'Vergi'!S51-SUM(S53:S55))),0)</f>
        <v/>
      </c>
      <c r="T56" s="18">
        <f>IF(AND('Zaman'!T9&gt;4,'Zaman'!T9-4&lt;=5),MIN(INDEX('Vergi'!$F$50:$AR$50,MATCH(4,'Zaman'!$F$9:$AR$9,0))-SUM(F56:S56),MAX(0,'Vergi'!T51-SUM(T53:T55))),0)</f>
        <v/>
      </c>
      <c r="U56" s="18">
        <f>IF(AND('Zaman'!U9&gt;4,'Zaman'!U9-4&lt;=5),MIN(INDEX('Vergi'!$F$50:$AR$50,MATCH(4,'Zaman'!$F$9:$AR$9,0))-SUM(F56:T56),MAX(0,'Vergi'!U51-SUM(U53:U55))),0)</f>
        <v/>
      </c>
      <c r="V56" s="18">
        <f>IF(AND('Zaman'!V9&gt;4,'Zaman'!V9-4&lt;=5),MIN(INDEX('Vergi'!$F$50:$AR$50,MATCH(4,'Zaman'!$F$9:$AR$9,0))-SUM(F56:U56),MAX(0,'Vergi'!V51-SUM(V53:V55))),0)</f>
        <v/>
      </c>
      <c r="W56" s="18">
        <f>IF(AND('Zaman'!W9&gt;4,'Zaman'!W9-4&lt;=5),MIN(INDEX('Vergi'!$F$50:$AR$50,MATCH(4,'Zaman'!$F$9:$AR$9,0))-SUM(F56:V56),MAX(0,'Vergi'!W51-SUM(W53:W55))),0)</f>
        <v/>
      </c>
      <c r="X56" s="18">
        <f>IF(AND('Zaman'!X9&gt;4,'Zaman'!X9-4&lt;=5),MIN(INDEX('Vergi'!$F$50:$AR$50,MATCH(4,'Zaman'!$F$9:$AR$9,0))-SUM(F56:W56),MAX(0,'Vergi'!X51-SUM(X53:X55))),0)</f>
        <v/>
      </c>
      <c r="Y56" s="18">
        <f>IF(AND('Zaman'!Y9&gt;4,'Zaman'!Y9-4&lt;=5),MIN(INDEX('Vergi'!$F$50:$AR$50,MATCH(4,'Zaman'!$F$9:$AR$9,0))-SUM(F56:X56),MAX(0,'Vergi'!Y51-SUM(Y53:Y55))),0)</f>
        <v/>
      </c>
      <c r="Z56" s="18">
        <f>IF(AND('Zaman'!Z9&gt;4,'Zaman'!Z9-4&lt;=5),MIN(INDEX('Vergi'!$F$50:$AR$50,MATCH(4,'Zaman'!$F$9:$AR$9,0))-SUM(F56:Y56),MAX(0,'Vergi'!Z51-SUM(Z53:Z55))),0)</f>
        <v/>
      </c>
      <c r="AA56" s="18">
        <f>IF(AND('Zaman'!AA9&gt;4,'Zaman'!AA9-4&lt;=5),MIN(INDEX('Vergi'!$F$50:$AR$50,MATCH(4,'Zaman'!$F$9:$AR$9,0))-SUM(F56:Z56),MAX(0,'Vergi'!AA51-SUM(AA53:AA55))),0)</f>
        <v/>
      </c>
      <c r="AB56" s="18">
        <f>IF(AND('Zaman'!AB9&gt;4,'Zaman'!AB9-4&lt;=5),MIN(INDEX('Vergi'!$F$50:$AR$50,MATCH(4,'Zaman'!$F$9:$AR$9,0))-SUM(F56:AA56),MAX(0,'Vergi'!AB51-SUM(AB53:AB55))),0)</f>
        <v/>
      </c>
      <c r="AC56" s="18">
        <f>IF(AND('Zaman'!AC9&gt;4,'Zaman'!AC9-4&lt;=5),MIN(INDEX('Vergi'!$F$50:$AR$50,MATCH(4,'Zaman'!$F$9:$AR$9,0))-SUM(F56:AB56),MAX(0,'Vergi'!AC51-SUM(AC53:AC55))),0)</f>
        <v/>
      </c>
      <c r="AD56" s="18">
        <f>IF(AND('Zaman'!AD9&gt;4,'Zaman'!AD9-4&lt;=5),MIN(INDEX('Vergi'!$F$50:$AR$50,MATCH(4,'Zaman'!$F$9:$AR$9,0))-SUM(F56:AC56),MAX(0,'Vergi'!AD51-SUM(AD53:AD55))),0)</f>
        <v/>
      </c>
      <c r="AE56" s="18">
        <f>IF(AND('Zaman'!AE9&gt;4,'Zaman'!AE9-4&lt;=5),MIN(INDEX('Vergi'!$F$50:$AR$50,MATCH(4,'Zaman'!$F$9:$AR$9,0))-SUM(F56:AD56),MAX(0,'Vergi'!AE51-SUM(AE53:AE55))),0)</f>
        <v/>
      </c>
      <c r="AF56" s="18">
        <f>IF(AND('Zaman'!AF9&gt;4,'Zaman'!AF9-4&lt;=5),MIN(INDEX('Vergi'!$F$50:$AR$50,MATCH(4,'Zaman'!$F$9:$AR$9,0))-SUM(F56:AE56),MAX(0,'Vergi'!AF51-SUM(AF53:AF55))),0)</f>
        <v/>
      </c>
      <c r="AG56" s="18">
        <f>IF(AND('Zaman'!AG9&gt;4,'Zaman'!AG9-4&lt;=5),MIN(INDEX('Vergi'!$F$50:$AR$50,MATCH(4,'Zaman'!$F$9:$AR$9,0))-SUM(F56:AF56),MAX(0,'Vergi'!AG51-SUM(AG53:AG55))),0)</f>
        <v/>
      </c>
      <c r="AH56" s="18">
        <f>IF(AND('Zaman'!AH9&gt;4,'Zaman'!AH9-4&lt;=5),MIN(INDEX('Vergi'!$F$50:$AR$50,MATCH(4,'Zaman'!$F$9:$AR$9,0))-SUM(F56:AG56),MAX(0,'Vergi'!AH51-SUM(AH53:AH55))),0)</f>
        <v/>
      </c>
      <c r="AI56" s="18">
        <f>IF(AND('Zaman'!AI9&gt;4,'Zaman'!AI9-4&lt;=5),MIN(INDEX('Vergi'!$F$50:$AR$50,MATCH(4,'Zaman'!$F$9:$AR$9,0))-SUM(F56:AH56),MAX(0,'Vergi'!AI51-SUM(AI53:AI55))),0)</f>
        <v/>
      </c>
      <c r="AJ56" s="18">
        <f>IF(AND('Zaman'!AJ9&gt;4,'Zaman'!AJ9-4&lt;=5),MIN(INDEX('Vergi'!$F$50:$AR$50,MATCH(4,'Zaman'!$F$9:$AR$9,0))-SUM(F56:AI56),MAX(0,'Vergi'!AJ51-SUM(AJ53:AJ55))),0)</f>
        <v/>
      </c>
      <c r="AK56" s="18">
        <f>IF(AND('Zaman'!AK9&gt;4,'Zaman'!AK9-4&lt;=5),MIN(INDEX('Vergi'!$F$50:$AR$50,MATCH(4,'Zaman'!$F$9:$AR$9,0))-SUM(F56:AJ56),MAX(0,'Vergi'!AK51-SUM(AK53:AK55))),0)</f>
        <v/>
      </c>
      <c r="AL56" s="18">
        <f>IF(AND('Zaman'!AL9&gt;4,'Zaman'!AL9-4&lt;=5),MIN(INDEX('Vergi'!$F$50:$AR$50,MATCH(4,'Zaman'!$F$9:$AR$9,0))-SUM(F56:AK56),MAX(0,'Vergi'!AL51-SUM(AL53:AL55))),0)</f>
        <v/>
      </c>
      <c r="AM56" s="18">
        <f>IF(AND('Zaman'!AM9&gt;4,'Zaman'!AM9-4&lt;=5),MIN(INDEX('Vergi'!$F$50:$AR$50,MATCH(4,'Zaman'!$F$9:$AR$9,0))-SUM(F56:AL56),MAX(0,'Vergi'!AM51-SUM(AM53:AM55))),0)</f>
        <v/>
      </c>
      <c r="AN56" s="18">
        <f>IF(AND('Zaman'!AN9&gt;4,'Zaman'!AN9-4&lt;=5),MIN(INDEX('Vergi'!$F$50:$AR$50,MATCH(4,'Zaman'!$F$9:$AR$9,0))-SUM(F56:AM56),MAX(0,'Vergi'!AN51-SUM(AN53:AN55))),0)</f>
        <v/>
      </c>
      <c r="AO56" s="18">
        <f>IF(AND('Zaman'!AO9&gt;4,'Zaman'!AO9-4&lt;=5),MIN(INDEX('Vergi'!$F$50:$AR$50,MATCH(4,'Zaman'!$F$9:$AR$9,0))-SUM(F56:AN56),MAX(0,'Vergi'!AO51-SUM(AO53:AO55))),0)</f>
        <v/>
      </c>
      <c r="AP56" s="18">
        <f>IF(AND('Zaman'!AP9&gt;4,'Zaman'!AP9-4&lt;=5),MIN(INDEX('Vergi'!$F$50:$AR$50,MATCH(4,'Zaman'!$F$9:$AR$9,0))-SUM(F56:AO56),MAX(0,'Vergi'!AP51-SUM(AP53:AP55))),0)</f>
        <v/>
      </c>
      <c r="AQ56" s="18">
        <f>IF(AND('Zaman'!AQ9&gt;4,'Zaman'!AQ9-4&lt;=5),MIN(INDEX('Vergi'!$F$50:$AR$50,MATCH(4,'Zaman'!$F$9:$AR$9,0))-SUM(F56:AP56),MAX(0,'Vergi'!AQ51-SUM(AQ53:AQ55))),0)</f>
        <v/>
      </c>
      <c r="AR56" s="18">
        <f>IF(AND('Zaman'!AR9&gt;4,'Zaman'!AR9-4&lt;=5),MIN(INDEX('Vergi'!$F$50:$AR$50,MATCH(4,'Zaman'!$F$9:$AR$9,0))-SUM(F56:AQ56),MAX(0,'Vergi'!AR51-SUM(AR53:AR55))),0)</f>
        <v/>
      </c>
    </row>
    <row r="57">
      <c r="A57" t="inlineStr">
        <is>
          <t>Zarar yılı 5 — kullanım</t>
        </is>
      </c>
      <c r="B57" t="inlineStr">
        <is>
          <t>USD</t>
        </is>
      </c>
      <c r="F57" s="18">
        <f>IF(AND('Zaman'!F9&gt;5,'Zaman'!F9-5&lt;=5),MIN(INDEX('Vergi'!$F$50:$AR$50,MATCH(5,'Zaman'!$F$9:$AR$9,0))-0,MAX(0,'Vergi'!F51-SUM(F53:F56))),0)</f>
        <v/>
      </c>
      <c r="G57" s="18">
        <f>IF(AND('Zaman'!G9&gt;5,'Zaman'!G9-5&lt;=5),MIN(INDEX('Vergi'!$F$50:$AR$50,MATCH(5,'Zaman'!$F$9:$AR$9,0))-SUM(F57:F57),MAX(0,'Vergi'!G51-SUM(G53:G56))),0)</f>
        <v/>
      </c>
      <c r="H57" s="18">
        <f>IF(AND('Zaman'!H9&gt;5,'Zaman'!H9-5&lt;=5),MIN(INDEX('Vergi'!$F$50:$AR$50,MATCH(5,'Zaman'!$F$9:$AR$9,0))-SUM(F57:G57),MAX(0,'Vergi'!H51-SUM(H53:H56))),0)</f>
        <v/>
      </c>
      <c r="I57" s="18">
        <f>IF(AND('Zaman'!I9&gt;5,'Zaman'!I9-5&lt;=5),MIN(INDEX('Vergi'!$F$50:$AR$50,MATCH(5,'Zaman'!$F$9:$AR$9,0))-SUM(F57:H57),MAX(0,'Vergi'!I51-SUM(I53:I56))),0)</f>
        <v/>
      </c>
      <c r="J57" s="18">
        <f>IF(AND('Zaman'!J9&gt;5,'Zaman'!J9-5&lt;=5),MIN(INDEX('Vergi'!$F$50:$AR$50,MATCH(5,'Zaman'!$F$9:$AR$9,0))-SUM(F57:I57),MAX(0,'Vergi'!J51-SUM(J53:J56))),0)</f>
        <v/>
      </c>
      <c r="K57" s="18">
        <f>IF(AND('Zaman'!K9&gt;5,'Zaman'!K9-5&lt;=5),MIN(INDEX('Vergi'!$F$50:$AR$50,MATCH(5,'Zaman'!$F$9:$AR$9,0))-SUM(F57:J57),MAX(0,'Vergi'!K51-SUM(K53:K56))),0)</f>
        <v/>
      </c>
      <c r="L57" s="18">
        <f>IF(AND('Zaman'!L9&gt;5,'Zaman'!L9-5&lt;=5),MIN(INDEX('Vergi'!$F$50:$AR$50,MATCH(5,'Zaman'!$F$9:$AR$9,0))-SUM(F57:K57),MAX(0,'Vergi'!L51-SUM(L53:L56))),0)</f>
        <v/>
      </c>
      <c r="M57" s="18">
        <f>IF(AND('Zaman'!M9&gt;5,'Zaman'!M9-5&lt;=5),MIN(INDEX('Vergi'!$F$50:$AR$50,MATCH(5,'Zaman'!$F$9:$AR$9,0))-SUM(F57:L57),MAX(0,'Vergi'!M51-SUM(M53:M56))),0)</f>
        <v/>
      </c>
      <c r="N57" s="18">
        <f>IF(AND('Zaman'!N9&gt;5,'Zaman'!N9-5&lt;=5),MIN(INDEX('Vergi'!$F$50:$AR$50,MATCH(5,'Zaman'!$F$9:$AR$9,0))-SUM(F57:M57),MAX(0,'Vergi'!N51-SUM(N53:N56))),0)</f>
        <v/>
      </c>
      <c r="O57" s="18">
        <f>IF(AND('Zaman'!O9&gt;5,'Zaman'!O9-5&lt;=5),MIN(INDEX('Vergi'!$F$50:$AR$50,MATCH(5,'Zaman'!$F$9:$AR$9,0))-SUM(F57:N57),MAX(0,'Vergi'!O51-SUM(O53:O56))),0)</f>
        <v/>
      </c>
      <c r="P57" s="18">
        <f>IF(AND('Zaman'!P9&gt;5,'Zaman'!P9-5&lt;=5),MIN(INDEX('Vergi'!$F$50:$AR$50,MATCH(5,'Zaman'!$F$9:$AR$9,0))-SUM(F57:O57),MAX(0,'Vergi'!P51-SUM(P53:P56))),0)</f>
        <v/>
      </c>
      <c r="Q57" s="18">
        <f>IF(AND('Zaman'!Q9&gt;5,'Zaman'!Q9-5&lt;=5),MIN(INDEX('Vergi'!$F$50:$AR$50,MATCH(5,'Zaman'!$F$9:$AR$9,0))-SUM(F57:P57),MAX(0,'Vergi'!Q51-SUM(Q53:Q56))),0)</f>
        <v/>
      </c>
      <c r="R57" s="18">
        <f>IF(AND('Zaman'!R9&gt;5,'Zaman'!R9-5&lt;=5),MIN(INDEX('Vergi'!$F$50:$AR$50,MATCH(5,'Zaman'!$F$9:$AR$9,0))-SUM(F57:Q57),MAX(0,'Vergi'!R51-SUM(R53:R56))),0)</f>
        <v/>
      </c>
      <c r="S57" s="18">
        <f>IF(AND('Zaman'!S9&gt;5,'Zaman'!S9-5&lt;=5),MIN(INDEX('Vergi'!$F$50:$AR$50,MATCH(5,'Zaman'!$F$9:$AR$9,0))-SUM(F57:R57),MAX(0,'Vergi'!S51-SUM(S53:S56))),0)</f>
        <v/>
      </c>
      <c r="T57" s="18">
        <f>IF(AND('Zaman'!T9&gt;5,'Zaman'!T9-5&lt;=5),MIN(INDEX('Vergi'!$F$50:$AR$50,MATCH(5,'Zaman'!$F$9:$AR$9,0))-SUM(F57:S57),MAX(0,'Vergi'!T51-SUM(T53:T56))),0)</f>
        <v/>
      </c>
      <c r="U57" s="18">
        <f>IF(AND('Zaman'!U9&gt;5,'Zaman'!U9-5&lt;=5),MIN(INDEX('Vergi'!$F$50:$AR$50,MATCH(5,'Zaman'!$F$9:$AR$9,0))-SUM(F57:T57),MAX(0,'Vergi'!U51-SUM(U53:U56))),0)</f>
        <v/>
      </c>
      <c r="V57" s="18">
        <f>IF(AND('Zaman'!V9&gt;5,'Zaman'!V9-5&lt;=5),MIN(INDEX('Vergi'!$F$50:$AR$50,MATCH(5,'Zaman'!$F$9:$AR$9,0))-SUM(F57:U57),MAX(0,'Vergi'!V51-SUM(V53:V56))),0)</f>
        <v/>
      </c>
      <c r="W57" s="18">
        <f>IF(AND('Zaman'!W9&gt;5,'Zaman'!W9-5&lt;=5),MIN(INDEX('Vergi'!$F$50:$AR$50,MATCH(5,'Zaman'!$F$9:$AR$9,0))-SUM(F57:V57),MAX(0,'Vergi'!W51-SUM(W53:W56))),0)</f>
        <v/>
      </c>
      <c r="X57" s="18">
        <f>IF(AND('Zaman'!X9&gt;5,'Zaman'!X9-5&lt;=5),MIN(INDEX('Vergi'!$F$50:$AR$50,MATCH(5,'Zaman'!$F$9:$AR$9,0))-SUM(F57:W57),MAX(0,'Vergi'!X51-SUM(X53:X56))),0)</f>
        <v/>
      </c>
      <c r="Y57" s="18">
        <f>IF(AND('Zaman'!Y9&gt;5,'Zaman'!Y9-5&lt;=5),MIN(INDEX('Vergi'!$F$50:$AR$50,MATCH(5,'Zaman'!$F$9:$AR$9,0))-SUM(F57:X57),MAX(0,'Vergi'!Y51-SUM(Y53:Y56))),0)</f>
        <v/>
      </c>
      <c r="Z57" s="18">
        <f>IF(AND('Zaman'!Z9&gt;5,'Zaman'!Z9-5&lt;=5),MIN(INDEX('Vergi'!$F$50:$AR$50,MATCH(5,'Zaman'!$F$9:$AR$9,0))-SUM(F57:Y57),MAX(0,'Vergi'!Z51-SUM(Z53:Z56))),0)</f>
        <v/>
      </c>
      <c r="AA57" s="18">
        <f>IF(AND('Zaman'!AA9&gt;5,'Zaman'!AA9-5&lt;=5),MIN(INDEX('Vergi'!$F$50:$AR$50,MATCH(5,'Zaman'!$F$9:$AR$9,0))-SUM(F57:Z57),MAX(0,'Vergi'!AA51-SUM(AA53:AA56))),0)</f>
        <v/>
      </c>
      <c r="AB57" s="18">
        <f>IF(AND('Zaman'!AB9&gt;5,'Zaman'!AB9-5&lt;=5),MIN(INDEX('Vergi'!$F$50:$AR$50,MATCH(5,'Zaman'!$F$9:$AR$9,0))-SUM(F57:AA57),MAX(0,'Vergi'!AB51-SUM(AB53:AB56))),0)</f>
        <v/>
      </c>
      <c r="AC57" s="18">
        <f>IF(AND('Zaman'!AC9&gt;5,'Zaman'!AC9-5&lt;=5),MIN(INDEX('Vergi'!$F$50:$AR$50,MATCH(5,'Zaman'!$F$9:$AR$9,0))-SUM(F57:AB57),MAX(0,'Vergi'!AC51-SUM(AC53:AC56))),0)</f>
        <v/>
      </c>
      <c r="AD57" s="18">
        <f>IF(AND('Zaman'!AD9&gt;5,'Zaman'!AD9-5&lt;=5),MIN(INDEX('Vergi'!$F$50:$AR$50,MATCH(5,'Zaman'!$F$9:$AR$9,0))-SUM(F57:AC57),MAX(0,'Vergi'!AD51-SUM(AD53:AD56))),0)</f>
        <v/>
      </c>
      <c r="AE57" s="18">
        <f>IF(AND('Zaman'!AE9&gt;5,'Zaman'!AE9-5&lt;=5),MIN(INDEX('Vergi'!$F$50:$AR$50,MATCH(5,'Zaman'!$F$9:$AR$9,0))-SUM(F57:AD57),MAX(0,'Vergi'!AE51-SUM(AE53:AE56))),0)</f>
        <v/>
      </c>
      <c r="AF57" s="18">
        <f>IF(AND('Zaman'!AF9&gt;5,'Zaman'!AF9-5&lt;=5),MIN(INDEX('Vergi'!$F$50:$AR$50,MATCH(5,'Zaman'!$F$9:$AR$9,0))-SUM(F57:AE57),MAX(0,'Vergi'!AF51-SUM(AF53:AF56))),0)</f>
        <v/>
      </c>
      <c r="AG57" s="18">
        <f>IF(AND('Zaman'!AG9&gt;5,'Zaman'!AG9-5&lt;=5),MIN(INDEX('Vergi'!$F$50:$AR$50,MATCH(5,'Zaman'!$F$9:$AR$9,0))-SUM(F57:AF57),MAX(0,'Vergi'!AG51-SUM(AG53:AG56))),0)</f>
        <v/>
      </c>
      <c r="AH57" s="18">
        <f>IF(AND('Zaman'!AH9&gt;5,'Zaman'!AH9-5&lt;=5),MIN(INDEX('Vergi'!$F$50:$AR$50,MATCH(5,'Zaman'!$F$9:$AR$9,0))-SUM(F57:AG57),MAX(0,'Vergi'!AH51-SUM(AH53:AH56))),0)</f>
        <v/>
      </c>
      <c r="AI57" s="18">
        <f>IF(AND('Zaman'!AI9&gt;5,'Zaman'!AI9-5&lt;=5),MIN(INDEX('Vergi'!$F$50:$AR$50,MATCH(5,'Zaman'!$F$9:$AR$9,0))-SUM(F57:AH57),MAX(0,'Vergi'!AI51-SUM(AI53:AI56))),0)</f>
        <v/>
      </c>
      <c r="AJ57" s="18">
        <f>IF(AND('Zaman'!AJ9&gt;5,'Zaman'!AJ9-5&lt;=5),MIN(INDEX('Vergi'!$F$50:$AR$50,MATCH(5,'Zaman'!$F$9:$AR$9,0))-SUM(F57:AI57),MAX(0,'Vergi'!AJ51-SUM(AJ53:AJ56))),0)</f>
        <v/>
      </c>
      <c r="AK57" s="18">
        <f>IF(AND('Zaman'!AK9&gt;5,'Zaman'!AK9-5&lt;=5),MIN(INDEX('Vergi'!$F$50:$AR$50,MATCH(5,'Zaman'!$F$9:$AR$9,0))-SUM(F57:AJ57),MAX(0,'Vergi'!AK51-SUM(AK53:AK56))),0)</f>
        <v/>
      </c>
      <c r="AL57" s="18">
        <f>IF(AND('Zaman'!AL9&gt;5,'Zaman'!AL9-5&lt;=5),MIN(INDEX('Vergi'!$F$50:$AR$50,MATCH(5,'Zaman'!$F$9:$AR$9,0))-SUM(F57:AK57),MAX(0,'Vergi'!AL51-SUM(AL53:AL56))),0)</f>
        <v/>
      </c>
      <c r="AM57" s="18">
        <f>IF(AND('Zaman'!AM9&gt;5,'Zaman'!AM9-5&lt;=5),MIN(INDEX('Vergi'!$F$50:$AR$50,MATCH(5,'Zaman'!$F$9:$AR$9,0))-SUM(F57:AL57),MAX(0,'Vergi'!AM51-SUM(AM53:AM56))),0)</f>
        <v/>
      </c>
      <c r="AN57" s="18">
        <f>IF(AND('Zaman'!AN9&gt;5,'Zaman'!AN9-5&lt;=5),MIN(INDEX('Vergi'!$F$50:$AR$50,MATCH(5,'Zaman'!$F$9:$AR$9,0))-SUM(F57:AM57),MAX(0,'Vergi'!AN51-SUM(AN53:AN56))),0)</f>
        <v/>
      </c>
      <c r="AO57" s="18">
        <f>IF(AND('Zaman'!AO9&gt;5,'Zaman'!AO9-5&lt;=5),MIN(INDEX('Vergi'!$F$50:$AR$50,MATCH(5,'Zaman'!$F$9:$AR$9,0))-SUM(F57:AN57),MAX(0,'Vergi'!AO51-SUM(AO53:AO56))),0)</f>
        <v/>
      </c>
      <c r="AP57" s="18">
        <f>IF(AND('Zaman'!AP9&gt;5,'Zaman'!AP9-5&lt;=5),MIN(INDEX('Vergi'!$F$50:$AR$50,MATCH(5,'Zaman'!$F$9:$AR$9,0))-SUM(F57:AO57),MAX(0,'Vergi'!AP51-SUM(AP53:AP56))),0)</f>
        <v/>
      </c>
      <c r="AQ57" s="18">
        <f>IF(AND('Zaman'!AQ9&gt;5,'Zaman'!AQ9-5&lt;=5),MIN(INDEX('Vergi'!$F$50:$AR$50,MATCH(5,'Zaman'!$F$9:$AR$9,0))-SUM(F57:AP57),MAX(0,'Vergi'!AQ51-SUM(AQ53:AQ56))),0)</f>
        <v/>
      </c>
      <c r="AR57" s="18">
        <f>IF(AND('Zaman'!AR9&gt;5,'Zaman'!AR9-5&lt;=5),MIN(INDEX('Vergi'!$F$50:$AR$50,MATCH(5,'Zaman'!$F$9:$AR$9,0))-SUM(F57:AQ57),MAX(0,'Vergi'!AR51-SUM(AR53:AR56))),0)</f>
        <v/>
      </c>
    </row>
    <row r="58">
      <c r="A58" t="inlineStr">
        <is>
          <t>Zarar yılı 6 — kullanım</t>
        </is>
      </c>
      <c r="B58" t="inlineStr">
        <is>
          <t>USD</t>
        </is>
      </c>
      <c r="F58" s="18">
        <f>IF(AND('Zaman'!F9&gt;6,'Zaman'!F9-6&lt;=5),MIN(INDEX('Vergi'!$F$50:$AR$50,MATCH(6,'Zaman'!$F$9:$AR$9,0))-0,MAX(0,'Vergi'!F51-SUM(F53:F57))),0)</f>
        <v/>
      </c>
      <c r="G58" s="18">
        <f>IF(AND('Zaman'!G9&gt;6,'Zaman'!G9-6&lt;=5),MIN(INDEX('Vergi'!$F$50:$AR$50,MATCH(6,'Zaman'!$F$9:$AR$9,0))-SUM(F58:F58),MAX(0,'Vergi'!G51-SUM(G53:G57))),0)</f>
        <v/>
      </c>
      <c r="H58" s="18">
        <f>IF(AND('Zaman'!H9&gt;6,'Zaman'!H9-6&lt;=5),MIN(INDEX('Vergi'!$F$50:$AR$50,MATCH(6,'Zaman'!$F$9:$AR$9,0))-SUM(F58:G58),MAX(0,'Vergi'!H51-SUM(H53:H57))),0)</f>
        <v/>
      </c>
      <c r="I58" s="18">
        <f>IF(AND('Zaman'!I9&gt;6,'Zaman'!I9-6&lt;=5),MIN(INDEX('Vergi'!$F$50:$AR$50,MATCH(6,'Zaman'!$F$9:$AR$9,0))-SUM(F58:H58),MAX(0,'Vergi'!I51-SUM(I53:I57))),0)</f>
        <v/>
      </c>
      <c r="J58" s="18">
        <f>IF(AND('Zaman'!J9&gt;6,'Zaman'!J9-6&lt;=5),MIN(INDEX('Vergi'!$F$50:$AR$50,MATCH(6,'Zaman'!$F$9:$AR$9,0))-SUM(F58:I58),MAX(0,'Vergi'!J51-SUM(J53:J57))),0)</f>
        <v/>
      </c>
      <c r="K58" s="18">
        <f>IF(AND('Zaman'!K9&gt;6,'Zaman'!K9-6&lt;=5),MIN(INDEX('Vergi'!$F$50:$AR$50,MATCH(6,'Zaman'!$F$9:$AR$9,0))-SUM(F58:J58),MAX(0,'Vergi'!K51-SUM(K53:K57))),0)</f>
        <v/>
      </c>
      <c r="L58" s="18">
        <f>IF(AND('Zaman'!L9&gt;6,'Zaman'!L9-6&lt;=5),MIN(INDEX('Vergi'!$F$50:$AR$50,MATCH(6,'Zaman'!$F$9:$AR$9,0))-SUM(F58:K58),MAX(0,'Vergi'!L51-SUM(L53:L57))),0)</f>
        <v/>
      </c>
      <c r="M58" s="18">
        <f>IF(AND('Zaman'!M9&gt;6,'Zaman'!M9-6&lt;=5),MIN(INDEX('Vergi'!$F$50:$AR$50,MATCH(6,'Zaman'!$F$9:$AR$9,0))-SUM(F58:L58),MAX(0,'Vergi'!M51-SUM(M53:M57))),0)</f>
        <v/>
      </c>
      <c r="N58" s="18">
        <f>IF(AND('Zaman'!N9&gt;6,'Zaman'!N9-6&lt;=5),MIN(INDEX('Vergi'!$F$50:$AR$50,MATCH(6,'Zaman'!$F$9:$AR$9,0))-SUM(F58:M58),MAX(0,'Vergi'!N51-SUM(N53:N57))),0)</f>
        <v/>
      </c>
      <c r="O58" s="18">
        <f>IF(AND('Zaman'!O9&gt;6,'Zaman'!O9-6&lt;=5),MIN(INDEX('Vergi'!$F$50:$AR$50,MATCH(6,'Zaman'!$F$9:$AR$9,0))-SUM(F58:N58),MAX(0,'Vergi'!O51-SUM(O53:O57))),0)</f>
        <v/>
      </c>
      <c r="P58" s="18">
        <f>IF(AND('Zaman'!P9&gt;6,'Zaman'!P9-6&lt;=5),MIN(INDEX('Vergi'!$F$50:$AR$50,MATCH(6,'Zaman'!$F$9:$AR$9,0))-SUM(F58:O58),MAX(0,'Vergi'!P51-SUM(P53:P57))),0)</f>
        <v/>
      </c>
      <c r="Q58" s="18">
        <f>IF(AND('Zaman'!Q9&gt;6,'Zaman'!Q9-6&lt;=5),MIN(INDEX('Vergi'!$F$50:$AR$50,MATCH(6,'Zaman'!$F$9:$AR$9,0))-SUM(F58:P58),MAX(0,'Vergi'!Q51-SUM(Q53:Q57))),0)</f>
        <v/>
      </c>
      <c r="R58" s="18">
        <f>IF(AND('Zaman'!R9&gt;6,'Zaman'!R9-6&lt;=5),MIN(INDEX('Vergi'!$F$50:$AR$50,MATCH(6,'Zaman'!$F$9:$AR$9,0))-SUM(F58:Q58),MAX(0,'Vergi'!R51-SUM(R53:R57))),0)</f>
        <v/>
      </c>
      <c r="S58" s="18">
        <f>IF(AND('Zaman'!S9&gt;6,'Zaman'!S9-6&lt;=5),MIN(INDEX('Vergi'!$F$50:$AR$50,MATCH(6,'Zaman'!$F$9:$AR$9,0))-SUM(F58:R58),MAX(0,'Vergi'!S51-SUM(S53:S57))),0)</f>
        <v/>
      </c>
      <c r="T58" s="18">
        <f>IF(AND('Zaman'!T9&gt;6,'Zaman'!T9-6&lt;=5),MIN(INDEX('Vergi'!$F$50:$AR$50,MATCH(6,'Zaman'!$F$9:$AR$9,0))-SUM(F58:S58),MAX(0,'Vergi'!T51-SUM(T53:T57))),0)</f>
        <v/>
      </c>
      <c r="U58" s="18">
        <f>IF(AND('Zaman'!U9&gt;6,'Zaman'!U9-6&lt;=5),MIN(INDEX('Vergi'!$F$50:$AR$50,MATCH(6,'Zaman'!$F$9:$AR$9,0))-SUM(F58:T58),MAX(0,'Vergi'!U51-SUM(U53:U57))),0)</f>
        <v/>
      </c>
      <c r="V58" s="18">
        <f>IF(AND('Zaman'!V9&gt;6,'Zaman'!V9-6&lt;=5),MIN(INDEX('Vergi'!$F$50:$AR$50,MATCH(6,'Zaman'!$F$9:$AR$9,0))-SUM(F58:U58),MAX(0,'Vergi'!V51-SUM(V53:V57))),0)</f>
        <v/>
      </c>
      <c r="W58" s="18">
        <f>IF(AND('Zaman'!W9&gt;6,'Zaman'!W9-6&lt;=5),MIN(INDEX('Vergi'!$F$50:$AR$50,MATCH(6,'Zaman'!$F$9:$AR$9,0))-SUM(F58:V58),MAX(0,'Vergi'!W51-SUM(W53:W57))),0)</f>
        <v/>
      </c>
      <c r="X58" s="18">
        <f>IF(AND('Zaman'!X9&gt;6,'Zaman'!X9-6&lt;=5),MIN(INDEX('Vergi'!$F$50:$AR$50,MATCH(6,'Zaman'!$F$9:$AR$9,0))-SUM(F58:W58),MAX(0,'Vergi'!X51-SUM(X53:X57))),0)</f>
        <v/>
      </c>
      <c r="Y58" s="18">
        <f>IF(AND('Zaman'!Y9&gt;6,'Zaman'!Y9-6&lt;=5),MIN(INDEX('Vergi'!$F$50:$AR$50,MATCH(6,'Zaman'!$F$9:$AR$9,0))-SUM(F58:X58),MAX(0,'Vergi'!Y51-SUM(Y53:Y57))),0)</f>
        <v/>
      </c>
      <c r="Z58" s="18">
        <f>IF(AND('Zaman'!Z9&gt;6,'Zaman'!Z9-6&lt;=5),MIN(INDEX('Vergi'!$F$50:$AR$50,MATCH(6,'Zaman'!$F$9:$AR$9,0))-SUM(F58:Y58),MAX(0,'Vergi'!Z51-SUM(Z53:Z57))),0)</f>
        <v/>
      </c>
      <c r="AA58" s="18">
        <f>IF(AND('Zaman'!AA9&gt;6,'Zaman'!AA9-6&lt;=5),MIN(INDEX('Vergi'!$F$50:$AR$50,MATCH(6,'Zaman'!$F$9:$AR$9,0))-SUM(F58:Z58),MAX(0,'Vergi'!AA51-SUM(AA53:AA57))),0)</f>
        <v/>
      </c>
      <c r="AB58" s="18">
        <f>IF(AND('Zaman'!AB9&gt;6,'Zaman'!AB9-6&lt;=5),MIN(INDEX('Vergi'!$F$50:$AR$50,MATCH(6,'Zaman'!$F$9:$AR$9,0))-SUM(F58:AA58),MAX(0,'Vergi'!AB51-SUM(AB53:AB57))),0)</f>
        <v/>
      </c>
      <c r="AC58" s="18">
        <f>IF(AND('Zaman'!AC9&gt;6,'Zaman'!AC9-6&lt;=5),MIN(INDEX('Vergi'!$F$50:$AR$50,MATCH(6,'Zaman'!$F$9:$AR$9,0))-SUM(F58:AB58),MAX(0,'Vergi'!AC51-SUM(AC53:AC57))),0)</f>
        <v/>
      </c>
      <c r="AD58" s="18">
        <f>IF(AND('Zaman'!AD9&gt;6,'Zaman'!AD9-6&lt;=5),MIN(INDEX('Vergi'!$F$50:$AR$50,MATCH(6,'Zaman'!$F$9:$AR$9,0))-SUM(F58:AC58),MAX(0,'Vergi'!AD51-SUM(AD53:AD57))),0)</f>
        <v/>
      </c>
      <c r="AE58" s="18">
        <f>IF(AND('Zaman'!AE9&gt;6,'Zaman'!AE9-6&lt;=5),MIN(INDEX('Vergi'!$F$50:$AR$50,MATCH(6,'Zaman'!$F$9:$AR$9,0))-SUM(F58:AD58),MAX(0,'Vergi'!AE51-SUM(AE53:AE57))),0)</f>
        <v/>
      </c>
      <c r="AF58" s="18">
        <f>IF(AND('Zaman'!AF9&gt;6,'Zaman'!AF9-6&lt;=5),MIN(INDEX('Vergi'!$F$50:$AR$50,MATCH(6,'Zaman'!$F$9:$AR$9,0))-SUM(F58:AE58),MAX(0,'Vergi'!AF51-SUM(AF53:AF57))),0)</f>
        <v/>
      </c>
      <c r="AG58" s="18">
        <f>IF(AND('Zaman'!AG9&gt;6,'Zaman'!AG9-6&lt;=5),MIN(INDEX('Vergi'!$F$50:$AR$50,MATCH(6,'Zaman'!$F$9:$AR$9,0))-SUM(F58:AF58),MAX(0,'Vergi'!AG51-SUM(AG53:AG57))),0)</f>
        <v/>
      </c>
      <c r="AH58" s="18">
        <f>IF(AND('Zaman'!AH9&gt;6,'Zaman'!AH9-6&lt;=5),MIN(INDEX('Vergi'!$F$50:$AR$50,MATCH(6,'Zaman'!$F$9:$AR$9,0))-SUM(F58:AG58),MAX(0,'Vergi'!AH51-SUM(AH53:AH57))),0)</f>
        <v/>
      </c>
      <c r="AI58" s="18">
        <f>IF(AND('Zaman'!AI9&gt;6,'Zaman'!AI9-6&lt;=5),MIN(INDEX('Vergi'!$F$50:$AR$50,MATCH(6,'Zaman'!$F$9:$AR$9,0))-SUM(F58:AH58),MAX(0,'Vergi'!AI51-SUM(AI53:AI57))),0)</f>
        <v/>
      </c>
      <c r="AJ58" s="18">
        <f>IF(AND('Zaman'!AJ9&gt;6,'Zaman'!AJ9-6&lt;=5),MIN(INDEX('Vergi'!$F$50:$AR$50,MATCH(6,'Zaman'!$F$9:$AR$9,0))-SUM(F58:AI58),MAX(0,'Vergi'!AJ51-SUM(AJ53:AJ57))),0)</f>
        <v/>
      </c>
      <c r="AK58" s="18">
        <f>IF(AND('Zaman'!AK9&gt;6,'Zaman'!AK9-6&lt;=5),MIN(INDEX('Vergi'!$F$50:$AR$50,MATCH(6,'Zaman'!$F$9:$AR$9,0))-SUM(F58:AJ58),MAX(0,'Vergi'!AK51-SUM(AK53:AK57))),0)</f>
        <v/>
      </c>
      <c r="AL58" s="18">
        <f>IF(AND('Zaman'!AL9&gt;6,'Zaman'!AL9-6&lt;=5),MIN(INDEX('Vergi'!$F$50:$AR$50,MATCH(6,'Zaman'!$F$9:$AR$9,0))-SUM(F58:AK58),MAX(0,'Vergi'!AL51-SUM(AL53:AL57))),0)</f>
        <v/>
      </c>
      <c r="AM58" s="18">
        <f>IF(AND('Zaman'!AM9&gt;6,'Zaman'!AM9-6&lt;=5),MIN(INDEX('Vergi'!$F$50:$AR$50,MATCH(6,'Zaman'!$F$9:$AR$9,0))-SUM(F58:AL58),MAX(0,'Vergi'!AM51-SUM(AM53:AM57))),0)</f>
        <v/>
      </c>
      <c r="AN58" s="18">
        <f>IF(AND('Zaman'!AN9&gt;6,'Zaman'!AN9-6&lt;=5),MIN(INDEX('Vergi'!$F$50:$AR$50,MATCH(6,'Zaman'!$F$9:$AR$9,0))-SUM(F58:AM58),MAX(0,'Vergi'!AN51-SUM(AN53:AN57))),0)</f>
        <v/>
      </c>
      <c r="AO58" s="18">
        <f>IF(AND('Zaman'!AO9&gt;6,'Zaman'!AO9-6&lt;=5),MIN(INDEX('Vergi'!$F$50:$AR$50,MATCH(6,'Zaman'!$F$9:$AR$9,0))-SUM(F58:AN58),MAX(0,'Vergi'!AO51-SUM(AO53:AO57))),0)</f>
        <v/>
      </c>
      <c r="AP58" s="18">
        <f>IF(AND('Zaman'!AP9&gt;6,'Zaman'!AP9-6&lt;=5),MIN(INDEX('Vergi'!$F$50:$AR$50,MATCH(6,'Zaman'!$F$9:$AR$9,0))-SUM(F58:AO58),MAX(0,'Vergi'!AP51-SUM(AP53:AP57))),0)</f>
        <v/>
      </c>
      <c r="AQ58" s="18">
        <f>IF(AND('Zaman'!AQ9&gt;6,'Zaman'!AQ9-6&lt;=5),MIN(INDEX('Vergi'!$F$50:$AR$50,MATCH(6,'Zaman'!$F$9:$AR$9,0))-SUM(F58:AP58),MAX(0,'Vergi'!AQ51-SUM(AQ53:AQ57))),0)</f>
        <v/>
      </c>
      <c r="AR58" s="18">
        <f>IF(AND('Zaman'!AR9&gt;6,'Zaman'!AR9-6&lt;=5),MIN(INDEX('Vergi'!$F$50:$AR$50,MATCH(6,'Zaman'!$F$9:$AR$9,0))-SUM(F58:AQ58),MAX(0,'Vergi'!AR51-SUM(AR53:AR57))),0)</f>
        <v/>
      </c>
    </row>
    <row r="59">
      <c r="A59" t="inlineStr">
        <is>
          <t>Zarar yılı 7 — kullanım</t>
        </is>
      </c>
      <c r="B59" t="inlineStr">
        <is>
          <t>USD</t>
        </is>
      </c>
      <c r="F59" s="18">
        <f>IF(AND('Zaman'!F9&gt;7,'Zaman'!F9-7&lt;=5),MIN(INDEX('Vergi'!$F$50:$AR$50,MATCH(7,'Zaman'!$F$9:$AR$9,0))-0,MAX(0,'Vergi'!F51-SUM(F53:F58))),0)</f>
        <v/>
      </c>
      <c r="G59" s="18">
        <f>IF(AND('Zaman'!G9&gt;7,'Zaman'!G9-7&lt;=5),MIN(INDEX('Vergi'!$F$50:$AR$50,MATCH(7,'Zaman'!$F$9:$AR$9,0))-SUM(F59:F59),MAX(0,'Vergi'!G51-SUM(G53:G58))),0)</f>
        <v/>
      </c>
      <c r="H59" s="18">
        <f>IF(AND('Zaman'!H9&gt;7,'Zaman'!H9-7&lt;=5),MIN(INDEX('Vergi'!$F$50:$AR$50,MATCH(7,'Zaman'!$F$9:$AR$9,0))-SUM(F59:G59),MAX(0,'Vergi'!H51-SUM(H53:H58))),0)</f>
        <v/>
      </c>
      <c r="I59" s="18">
        <f>IF(AND('Zaman'!I9&gt;7,'Zaman'!I9-7&lt;=5),MIN(INDEX('Vergi'!$F$50:$AR$50,MATCH(7,'Zaman'!$F$9:$AR$9,0))-SUM(F59:H59),MAX(0,'Vergi'!I51-SUM(I53:I58))),0)</f>
        <v/>
      </c>
      <c r="J59" s="18">
        <f>IF(AND('Zaman'!J9&gt;7,'Zaman'!J9-7&lt;=5),MIN(INDEX('Vergi'!$F$50:$AR$50,MATCH(7,'Zaman'!$F$9:$AR$9,0))-SUM(F59:I59),MAX(0,'Vergi'!J51-SUM(J53:J58))),0)</f>
        <v/>
      </c>
      <c r="K59" s="18">
        <f>IF(AND('Zaman'!K9&gt;7,'Zaman'!K9-7&lt;=5),MIN(INDEX('Vergi'!$F$50:$AR$50,MATCH(7,'Zaman'!$F$9:$AR$9,0))-SUM(F59:J59),MAX(0,'Vergi'!K51-SUM(K53:K58))),0)</f>
        <v/>
      </c>
      <c r="L59" s="18">
        <f>IF(AND('Zaman'!L9&gt;7,'Zaman'!L9-7&lt;=5),MIN(INDEX('Vergi'!$F$50:$AR$50,MATCH(7,'Zaman'!$F$9:$AR$9,0))-SUM(F59:K59),MAX(0,'Vergi'!L51-SUM(L53:L58))),0)</f>
        <v/>
      </c>
      <c r="M59" s="18">
        <f>IF(AND('Zaman'!M9&gt;7,'Zaman'!M9-7&lt;=5),MIN(INDEX('Vergi'!$F$50:$AR$50,MATCH(7,'Zaman'!$F$9:$AR$9,0))-SUM(F59:L59),MAX(0,'Vergi'!M51-SUM(M53:M58))),0)</f>
        <v/>
      </c>
      <c r="N59" s="18">
        <f>IF(AND('Zaman'!N9&gt;7,'Zaman'!N9-7&lt;=5),MIN(INDEX('Vergi'!$F$50:$AR$50,MATCH(7,'Zaman'!$F$9:$AR$9,0))-SUM(F59:M59),MAX(0,'Vergi'!N51-SUM(N53:N58))),0)</f>
        <v/>
      </c>
      <c r="O59" s="18">
        <f>IF(AND('Zaman'!O9&gt;7,'Zaman'!O9-7&lt;=5),MIN(INDEX('Vergi'!$F$50:$AR$50,MATCH(7,'Zaman'!$F$9:$AR$9,0))-SUM(F59:N59),MAX(0,'Vergi'!O51-SUM(O53:O58))),0)</f>
        <v/>
      </c>
      <c r="P59" s="18">
        <f>IF(AND('Zaman'!P9&gt;7,'Zaman'!P9-7&lt;=5),MIN(INDEX('Vergi'!$F$50:$AR$50,MATCH(7,'Zaman'!$F$9:$AR$9,0))-SUM(F59:O59),MAX(0,'Vergi'!P51-SUM(P53:P58))),0)</f>
        <v/>
      </c>
      <c r="Q59" s="18">
        <f>IF(AND('Zaman'!Q9&gt;7,'Zaman'!Q9-7&lt;=5),MIN(INDEX('Vergi'!$F$50:$AR$50,MATCH(7,'Zaman'!$F$9:$AR$9,0))-SUM(F59:P59),MAX(0,'Vergi'!Q51-SUM(Q53:Q58))),0)</f>
        <v/>
      </c>
      <c r="R59" s="18">
        <f>IF(AND('Zaman'!R9&gt;7,'Zaman'!R9-7&lt;=5),MIN(INDEX('Vergi'!$F$50:$AR$50,MATCH(7,'Zaman'!$F$9:$AR$9,0))-SUM(F59:Q59),MAX(0,'Vergi'!R51-SUM(R53:R58))),0)</f>
        <v/>
      </c>
      <c r="S59" s="18">
        <f>IF(AND('Zaman'!S9&gt;7,'Zaman'!S9-7&lt;=5),MIN(INDEX('Vergi'!$F$50:$AR$50,MATCH(7,'Zaman'!$F$9:$AR$9,0))-SUM(F59:R59),MAX(0,'Vergi'!S51-SUM(S53:S58))),0)</f>
        <v/>
      </c>
      <c r="T59" s="18">
        <f>IF(AND('Zaman'!T9&gt;7,'Zaman'!T9-7&lt;=5),MIN(INDEX('Vergi'!$F$50:$AR$50,MATCH(7,'Zaman'!$F$9:$AR$9,0))-SUM(F59:S59),MAX(0,'Vergi'!T51-SUM(T53:T58))),0)</f>
        <v/>
      </c>
      <c r="U59" s="18">
        <f>IF(AND('Zaman'!U9&gt;7,'Zaman'!U9-7&lt;=5),MIN(INDEX('Vergi'!$F$50:$AR$50,MATCH(7,'Zaman'!$F$9:$AR$9,0))-SUM(F59:T59),MAX(0,'Vergi'!U51-SUM(U53:U58))),0)</f>
        <v/>
      </c>
      <c r="V59" s="18">
        <f>IF(AND('Zaman'!V9&gt;7,'Zaman'!V9-7&lt;=5),MIN(INDEX('Vergi'!$F$50:$AR$50,MATCH(7,'Zaman'!$F$9:$AR$9,0))-SUM(F59:U59),MAX(0,'Vergi'!V51-SUM(V53:V58))),0)</f>
        <v/>
      </c>
      <c r="W59" s="18">
        <f>IF(AND('Zaman'!W9&gt;7,'Zaman'!W9-7&lt;=5),MIN(INDEX('Vergi'!$F$50:$AR$50,MATCH(7,'Zaman'!$F$9:$AR$9,0))-SUM(F59:V59),MAX(0,'Vergi'!W51-SUM(W53:W58))),0)</f>
        <v/>
      </c>
      <c r="X59" s="18">
        <f>IF(AND('Zaman'!X9&gt;7,'Zaman'!X9-7&lt;=5),MIN(INDEX('Vergi'!$F$50:$AR$50,MATCH(7,'Zaman'!$F$9:$AR$9,0))-SUM(F59:W59),MAX(0,'Vergi'!X51-SUM(X53:X58))),0)</f>
        <v/>
      </c>
      <c r="Y59" s="18">
        <f>IF(AND('Zaman'!Y9&gt;7,'Zaman'!Y9-7&lt;=5),MIN(INDEX('Vergi'!$F$50:$AR$50,MATCH(7,'Zaman'!$F$9:$AR$9,0))-SUM(F59:X59),MAX(0,'Vergi'!Y51-SUM(Y53:Y58))),0)</f>
        <v/>
      </c>
      <c r="Z59" s="18">
        <f>IF(AND('Zaman'!Z9&gt;7,'Zaman'!Z9-7&lt;=5),MIN(INDEX('Vergi'!$F$50:$AR$50,MATCH(7,'Zaman'!$F$9:$AR$9,0))-SUM(F59:Y59),MAX(0,'Vergi'!Z51-SUM(Z53:Z58))),0)</f>
        <v/>
      </c>
      <c r="AA59" s="18">
        <f>IF(AND('Zaman'!AA9&gt;7,'Zaman'!AA9-7&lt;=5),MIN(INDEX('Vergi'!$F$50:$AR$50,MATCH(7,'Zaman'!$F$9:$AR$9,0))-SUM(F59:Z59),MAX(0,'Vergi'!AA51-SUM(AA53:AA58))),0)</f>
        <v/>
      </c>
      <c r="AB59" s="18">
        <f>IF(AND('Zaman'!AB9&gt;7,'Zaman'!AB9-7&lt;=5),MIN(INDEX('Vergi'!$F$50:$AR$50,MATCH(7,'Zaman'!$F$9:$AR$9,0))-SUM(F59:AA59),MAX(0,'Vergi'!AB51-SUM(AB53:AB58))),0)</f>
        <v/>
      </c>
      <c r="AC59" s="18">
        <f>IF(AND('Zaman'!AC9&gt;7,'Zaman'!AC9-7&lt;=5),MIN(INDEX('Vergi'!$F$50:$AR$50,MATCH(7,'Zaman'!$F$9:$AR$9,0))-SUM(F59:AB59),MAX(0,'Vergi'!AC51-SUM(AC53:AC58))),0)</f>
        <v/>
      </c>
      <c r="AD59" s="18">
        <f>IF(AND('Zaman'!AD9&gt;7,'Zaman'!AD9-7&lt;=5),MIN(INDEX('Vergi'!$F$50:$AR$50,MATCH(7,'Zaman'!$F$9:$AR$9,0))-SUM(F59:AC59),MAX(0,'Vergi'!AD51-SUM(AD53:AD58))),0)</f>
        <v/>
      </c>
      <c r="AE59" s="18">
        <f>IF(AND('Zaman'!AE9&gt;7,'Zaman'!AE9-7&lt;=5),MIN(INDEX('Vergi'!$F$50:$AR$50,MATCH(7,'Zaman'!$F$9:$AR$9,0))-SUM(F59:AD59),MAX(0,'Vergi'!AE51-SUM(AE53:AE58))),0)</f>
        <v/>
      </c>
      <c r="AF59" s="18">
        <f>IF(AND('Zaman'!AF9&gt;7,'Zaman'!AF9-7&lt;=5),MIN(INDEX('Vergi'!$F$50:$AR$50,MATCH(7,'Zaman'!$F$9:$AR$9,0))-SUM(F59:AE59),MAX(0,'Vergi'!AF51-SUM(AF53:AF58))),0)</f>
        <v/>
      </c>
      <c r="AG59" s="18">
        <f>IF(AND('Zaman'!AG9&gt;7,'Zaman'!AG9-7&lt;=5),MIN(INDEX('Vergi'!$F$50:$AR$50,MATCH(7,'Zaman'!$F$9:$AR$9,0))-SUM(F59:AF59),MAX(0,'Vergi'!AG51-SUM(AG53:AG58))),0)</f>
        <v/>
      </c>
      <c r="AH59" s="18">
        <f>IF(AND('Zaman'!AH9&gt;7,'Zaman'!AH9-7&lt;=5),MIN(INDEX('Vergi'!$F$50:$AR$50,MATCH(7,'Zaman'!$F$9:$AR$9,0))-SUM(F59:AG59),MAX(0,'Vergi'!AH51-SUM(AH53:AH58))),0)</f>
        <v/>
      </c>
      <c r="AI59" s="18">
        <f>IF(AND('Zaman'!AI9&gt;7,'Zaman'!AI9-7&lt;=5),MIN(INDEX('Vergi'!$F$50:$AR$50,MATCH(7,'Zaman'!$F$9:$AR$9,0))-SUM(F59:AH59),MAX(0,'Vergi'!AI51-SUM(AI53:AI58))),0)</f>
        <v/>
      </c>
      <c r="AJ59" s="18">
        <f>IF(AND('Zaman'!AJ9&gt;7,'Zaman'!AJ9-7&lt;=5),MIN(INDEX('Vergi'!$F$50:$AR$50,MATCH(7,'Zaman'!$F$9:$AR$9,0))-SUM(F59:AI59),MAX(0,'Vergi'!AJ51-SUM(AJ53:AJ58))),0)</f>
        <v/>
      </c>
      <c r="AK59" s="18">
        <f>IF(AND('Zaman'!AK9&gt;7,'Zaman'!AK9-7&lt;=5),MIN(INDEX('Vergi'!$F$50:$AR$50,MATCH(7,'Zaman'!$F$9:$AR$9,0))-SUM(F59:AJ59),MAX(0,'Vergi'!AK51-SUM(AK53:AK58))),0)</f>
        <v/>
      </c>
      <c r="AL59" s="18">
        <f>IF(AND('Zaman'!AL9&gt;7,'Zaman'!AL9-7&lt;=5),MIN(INDEX('Vergi'!$F$50:$AR$50,MATCH(7,'Zaman'!$F$9:$AR$9,0))-SUM(F59:AK59),MAX(0,'Vergi'!AL51-SUM(AL53:AL58))),0)</f>
        <v/>
      </c>
      <c r="AM59" s="18">
        <f>IF(AND('Zaman'!AM9&gt;7,'Zaman'!AM9-7&lt;=5),MIN(INDEX('Vergi'!$F$50:$AR$50,MATCH(7,'Zaman'!$F$9:$AR$9,0))-SUM(F59:AL59),MAX(0,'Vergi'!AM51-SUM(AM53:AM58))),0)</f>
        <v/>
      </c>
      <c r="AN59" s="18">
        <f>IF(AND('Zaman'!AN9&gt;7,'Zaman'!AN9-7&lt;=5),MIN(INDEX('Vergi'!$F$50:$AR$50,MATCH(7,'Zaman'!$F$9:$AR$9,0))-SUM(F59:AM59),MAX(0,'Vergi'!AN51-SUM(AN53:AN58))),0)</f>
        <v/>
      </c>
      <c r="AO59" s="18">
        <f>IF(AND('Zaman'!AO9&gt;7,'Zaman'!AO9-7&lt;=5),MIN(INDEX('Vergi'!$F$50:$AR$50,MATCH(7,'Zaman'!$F$9:$AR$9,0))-SUM(F59:AN59),MAX(0,'Vergi'!AO51-SUM(AO53:AO58))),0)</f>
        <v/>
      </c>
      <c r="AP59" s="18">
        <f>IF(AND('Zaman'!AP9&gt;7,'Zaman'!AP9-7&lt;=5),MIN(INDEX('Vergi'!$F$50:$AR$50,MATCH(7,'Zaman'!$F$9:$AR$9,0))-SUM(F59:AO59),MAX(0,'Vergi'!AP51-SUM(AP53:AP58))),0)</f>
        <v/>
      </c>
      <c r="AQ59" s="18">
        <f>IF(AND('Zaman'!AQ9&gt;7,'Zaman'!AQ9-7&lt;=5),MIN(INDEX('Vergi'!$F$50:$AR$50,MATCH(7,'Zaman'!$F$9:$AR$9,0))-SUM(F59:AP59),MAX(0,'Vergi'!AQ51-SUM(AQ53:AQ58))),0)</f>
        <v/>
      </c>
      <c r="AR59" s="18">
        <f>IF(AND('Zaman'!AR9&gt;7,'Zaman'!AR9-7&lt;=5),MIN(INDEX('Vergi'!$F$50:$AR$50,MATCH(7,'Zaman'!$F$9:$AR$9,0))-SUM(F59:AQ59),MAX(0,'Vergi'!AR51-SUM(AR53:AR58))),0)</f>
        <v/>
      </c>
    </row>
    <row r="60">
      <c r="A60" t="inlineStr">
        <is>
          <t>Zarar yılı 8 — kullanım</t>
        </is>
      </c>
      <c r="B60" t="inlineStr">
        <is>
          <t>USD</t>
        </is>
      </c>
      <c r="F60" s="18">
        <f>IF(AND('Zaman'!F9&gt;8,'Zaman'!F9-8&lt;=5),MIN(INDEX('Vergi'!$F$50:$AR$50,MATCH(8,'Zaman'!$F$9:$AR$9,0))-0,MAX(0,'Vergi'!F51-SUM(F53:F59))),0)</f>
        <v/>
      </c>
      <c r="G60" s="18">
        <f>IF(AND('Zaman'!G9&gt;8,'Zaman'!G9-8&lt;=5),MIN(INDEX('Vergi'!$F$50:$AR$50,MATCH(8,'Zaman'!$F$9:$AR$9,0))-SUM(F60:F60),MAX(0,'Vergi'!G51-SUM(G53:G59))),0)</f>
        <v/>
      </c>
      <c r="H60" s="18">
        <f>IF(AND('Zaman'!H9&gt;8,'Zaman'!H9-8&lt;=5),MIN(INDEX('Vergi'!$F$50:$AR$50,MATCH(8,'Zaman'!$F$9:$AR$9,0))-SUM(F60:G60),MAX(0,'Vergi'!H51-SUM(H53:H59))),0)</f>
        <v/>
      </c>
      <c r="I60" s="18">
        <f>IF(AND('Zaman'!I9&gt;8,'Zaman'!I9-8&lt;=5),MIN(INDEX('Vergi'!$F$50:$AR$50,MATCH(8,'Zaman'!$F$9:$AR$9,0))-SUM(F60:H60),MAX(0,'Vergi'!I51-SUM(I53:I59))),0)</f>
        <v/>
      </c>
      <c r="J60" s="18">
        <f>IF(AND('Zaman'!J9&gt;8,'Zaman'!J9-8&lt;=5),MIN(INDEX('Vergi'!$F$50:$AR$50,MATCH(8,'Zaman'!$F$9:$AR$9,0))-SUM(F60:I60),MAX(0,'Vergi'!J51-SUM(J53:J59))),0)</f>
        <v/>
      </c>
      <c r="K60" s="18">
        <f>IF(AND('Zaman'!K9&gt;8,'Zaman'!K9-8&lt;=5),MIN(INDEX('Vergi'!$F$50:$AR$50,MATCH(8,'Zaman'!$F$9:$AR$9,0))-SUM(F60:J60),MAX(0,'Vergi'!K51-SUM(K53:K59))),0)</f>
        <v/>
      </c>
      <c r="L60" s="18">
        <f>IF(AND('Zaman'!L9&gt;8,'Zaman'!L9-8&lt;=5),MIN(INDEX('Vergi'!$F$50:$AR$50,MATCH(8,'Zaman'!$F$9:$AR$9,0))-SUM(F60:K60),MAX(0,'Vergi'!L51-SUM(L53:L59))),0)</f>
        <v/>
      </c>
      <c r="M60" s="18">
        <f>IF(AND('Zaman'!M9&gt;8,'Zaman'!M9-8&lt;=5),MIN(INDEX('Vergi'!$F$50:$AR$50,MATCH(8,'Zaman'!$F$9:$AR$9,0))-SUM(F60:L60),MAX(0,'Vergi'!M51-SUM(M53:M59))),0)</f>
        <v/>
      </c>
      <c r="N60" s="18">
        <f>IF(AND('Zaman'!N9&gt;8,'Zaman'!N9-8&lt;=5),MIN(INDEX('Vergi'!$F$50:$AR$50,MATCH(8,'Zaman'!$F$9:$AR$9,0))-SUM(F60:M60),MAX(0,'Vergi'!N51-SUM(N53:N59))),0)</f>
        <v/>
      </c>
      <c r="O60" s="18">
        <f>IF(AND('Zaman'!O9&gt;8,'Zaman'!O9-8&lt;=5),MIN(INDEX('Vergi'!$F$50:$AR$50,MATCH(8,'Zaman'!$F$9:$AR$9,0))-SUM(F60:N60),MAX(0,'Vergi'!O51-SUM(O53:O59))),0)</f>
        <v/>
      </c>
      <c r="P60" s="18">
        <f>IF(AND('Zaman'!P9&gt;8,'Zaman'!P9-8&lt;=5),MIN(INDEX('Vergi'!$F$50:$AR$50,MATCH(8,'Zaman'!$F$9:$AR$9,0))-SUM(F60:O60),MAX(0,'Vergi'!P51-SUM(P53:P59))),0)</f>
        <v/>
      </c>
      <c r="Q60" s="18">
        <f>IF(AND('Zaman'!Q9&gt;8,'Zaman'!Q9-8&lt;=5),MIN(INDEX('Vergi'!$F$50:$AR$50,MATCH(8,'Zaman'!$F$9:$AR$9,0))-SUM(F60:P60),MAX(0,'Vergi'!Q51-SUM(Q53:Q59))),0)</f>
        <v/>
      </c>
      <c r="R60" s="18">
        <f>IF(AND('Zaman'!R9&gt;8,'Zaman'!R9-8&lt;=5),MIN(INDEX('Vergi'!$F$50:$AR$50,MATCH(8,'Zaman'!$F$9:$AR$9,0))-SUM(F60:Q60),MAX(0,'Vergi'!R51-SUM(R53:R59))),0)</f>
        <v/>
      </c>
      <c r="S60" s="18">
        <f>IF(AND('Zaman'!S9&gt;8,'Zaman'!S9-8&lt;=5),MIN(INDEX('Vergi'!$F$50:$AR$50,MATCH(8,'Zaman'!$F$9:$AR$9,0))-SUM(F60:R60),MAX(0,'Vergi'!S51-SUM(S53:S59))),0)</f>
        <v/>
      </c>
      <c r="T60" s="18">
        <f>IF(AND('Zaman'!T9&gt;8,'Zaman'!T9-8&lt;=5),MIN(INDEX('Vergi'!$F$50:$AR$50,MATCH(8,'Zaman'!$F$9:$AR$9,0))-SUM(F60:S60),MAX(0,'Vergi'!T51-SUM(T53:T59))),0)</f>
        <v/>
      </c>
      <c r="U60" s="18">
        <f>IF(AND('Zaman'!U9&gt;8,'Zaman'!U9-8&lt;=5),MIN(INDEX('Vergi'!$F$50:$AR$50,MATCH(8,'Zaman'!$F$9:$AR$9,0))-SUM(F60:T60),MAX(0,'Vergi'!U51-SUM(U53:U59))),0)</f>
        <v/>
      </c>
      <c r="V60" s="18">
        <f>IF(AND('Zaman'!V9&gt;8,'Zaman'!V9-8&lt;=5),MIN(INDEX('Vergi'!$F$50:$AR$50,MATCH(8,'Zaman'!$F$9:$AR$9,0))-SUM(F60:U60),MAX(0,'Vergi'!V51-SUM(V53:V59))),0)</f>
        <v/>
      </c>
      <c r="W60" s="18">
        <f>IF(AND('Zaman'!W9&gt;8,'Zaman'!W9-8&lt;=5),MIN(INDEX('Vergi'!$F$50:$AR$50,MATCH(8,'Zaman'!$F$9:$AR$9,0))-SUM(F60:V60),MAX(0,'Vergi'!W51-SUM(W53:W59))),0)</f>
        <v/>
      </c>
      <c r="X60" s="18">
        <f>IF(AND('Zaman'!X9&gt;8,'Zaman'!X9-8&lt;=5),MIN(INDEX('Vergi'!$F$50:$AR$50,MATCH(8,'Zaman'!$F$9:$AR$9,0))-SUM(F60:W60),MAX(0,'Vergi'!X51-SUM(X53:X59))),0)</f>
        <v/>
      </c>
      <c r="Y60" s="18">
        <f>IF(AND('Zaman'!Y9&gt;8,'Zaman'!Y9-8&lt;=5),MIN(INDEX('Vergi'!$F$50:$AR$50,MATCH(8,'Zaman'!$F$9:$AR$9,0))-SUM(F60:X60),MAX(0,'Vergi'!Y51-SUM(Y53:Y59))),0)</f>
        <v/>
      </c>
      <c r="Z60" s="18">
        <f>IF(AND('Zaman'!Z9&gt;8,'Zaman'!Z9-8&lt;=5),MIN(INDEX('Vergi'!$F$50:$AR$50,MATCH(8,'Zaman'!$F$9:$AR$9,0))-SUM(F60:Y60),MAX(0,'Vergi'!Z51-SUM(Z53:Z59))),0)</f>
        <v/>
      </c>
      <c r="AA60" s="18">
        <f>IF(AND('Zaman'!AA9&gt;8,'Zaman'!AA9-8&lt;=5),MIN(INDEX('Vergi'!$F$50:$AR$50,MATCH(8,'Zaman'!$F$9:$AR$9,0))-SUM(F60:Z60),MAX(0,'Vergi'!AA51-SUM(AA53:AA59))),0)</f>
        <v/>
      </c>
      <c r="AB60" s="18">
        <f>IF(AND('Zaman'!AB9&gt;8,'Zaman'!AB9-8&lt;=5),MIN(INDEX('Vergi'!$F$50:$AR$50,MATCH(8,'Zaman'!$F$9:$AR$9,0))-SUM(F60:AA60),MAX(0,'Vergi'!AB51-SUM(AB53:AB59))),0)</f>
        <v/>
      </c>
      <c r="AC60" s="18">
        <f>IF(AND('Zaman'!AC9&gt;8,'Zaman'!AC9-8&lt;=5),MIN(INDEX('Vergi'!$F$50:$AR$50,MATCH(8,'Zaman'!$F$9:$AR$9,0))-SUM(F60:AB60),MAX(0,'Vergi'!AC51-SUM(AC53:AC59))),0)</f>
        <v/>
      </c>
      <c r="AD60" s="18">
        <f>IF(AND('Zaman'!AD9&gt;8,'Zaman'!AD9-8&lt;=5),MIN(INDEX('Vergi'!$F$50:$AR$50,MATCH(8,'Zaman'!$F$9:$AR$9,0))-SUM(F60:AC60),MAX(0,'Vergi'!AD51-SUM(AD53:AD59))),0)</f>
        <v/>
      </c>
      <c r="AE60" s="18">
        <f>IF(AND('Zaman'!AE9&gt;8,'Zaman'!AE9-8&lt;=5),MIN(INDEX('Vergi'!$F$50:$AR$50,MATCH(8,'Zaman'!$F$9:$AR$9,0))-SUM(F60:AD60),MAX(0,'Vergi'!AE51-SUM(AE53:AE59))),0)</f>
        <v/>
      </c>
      <c r="AF60" s="18">
        <f>IF(AND('Zaman'!AF9&gt;8,'Zaman'!AF9-8&lt;=5),MIN(INDEX('Vergi'!$F$50:$AR$50,MATCH(8,'Zaman'!$F$9:$AR$9,0))-SUM(F60:AE60),MAX(0,'Vergi'!AF51-SUM(AF53:AF59))),0)</f>
        <v/>
      </c>
      <c r="AG60" s="18">
        <f>IF(AND('Zaman'!AG9&gt;8,'Zaman'!AG9-8&lt;=5),MIN(INDEX('Vergi'!$F$50:$AR$50,MATCH(8,'Zaman'!$F$9:$AR$9,0))-SUM(F60:AF60),MAX(0,'Vergi'!AG51-SUM(AG53:AG59))),0)</f>
        <v/>
      </c>
      <c r="AH60" s="18">
        <f>IF(AND('Zaman'!AH9&gt;8,'Zaman'!AH9-8&lt;=5),MIN(INDEX('Vergi'!$F$50:$AR$50,MATCH(8,'Zaman'!$F$9:$AR$9,0))-SUM(F60:AG60),MAX(0,'Vergi'!AH51-SUM(AH53:AH59))),0)</f>
        <v/>
      </c>
      <c r="AI60" s="18">
        <f>IF(AND('Zaman'!AI9&gt;8,'Zaman'!AI9-8&lt;=5),MIN(INDEX('Vergi'!$F$50:$AR$50,MATCH(8,'Zaman'!$F$9:$AR$9,0))-SUM(F60:AH60),MAX(0,'Vergi'!AI51-SUM(AI53:AI59))),0)</f>
        <v/>
      </c>
      <c r="AJ60" s="18">
        <f>IF(AND('Zaman'!AJ9&gt;8,'Zaman'!AJ9-8&lt;=5),MIN(INDEX('Vergi'!$F$50:$AR$50,MATCH(8,'Zaman'!$F$9:$AR$9,0))-SUM(F60:AI60),MAX(0,'Vergi'!AJ51-SUM(AJ53:AJ59))),0)</f>
        <v/>
      </c>
      <c r="AK60" s="18">
        <f>IF(AND('Zaman'!AK9&gt;8,'Zaman'!AK9-8&lt;=5),MIN(INDEX('Vergi'!$F$50:$AR$50,MATCH(8,'Zaman'!$F$9:$AR$9,0))-SUM(F60:AJ60),MAX(0,'Vergi'!AK51-SUM(AK53:AK59))),0)</f>
        <v/>
      </c>
      <c r="AL60" s="18">
        <f>IF(AND('Zaman'!AL9&gt;8,'Zaman'!AL9-8&lt;=5),MIN(INDEX('Vergi'!$F$50:$AR$50,MATCH(8,'Zaman'!$F$9:$AR$9,0))-SUM(F60:AK60),MAX(0,'Vergi'!AL51-SUM(AL53:AL59))),0)</f>
        <v/>
      </c>
      <c r="AM60" s="18">
        <f>IF(AND('Zaman'!AM9&gt;8,'Zaman'!AM9-8&lt;=5),MIN(INDEX('Vergi'!$F$50:$AR$50,MATCH(8,'Zaman'!$F$9:$AR$9,0))-SUM(F60:AL60),MAX(0,'Vergi'!AM51-SUM(AM53:AM59))),0)</f>
        <v/>
      </c>
      <c r="AN60" s="18">
        <f>IF(AND('Zaman'!AN9&gt;8,'Zaman'!AN9-8&lt;=5),MIN(INDEX('Vergi'!$F$50:$AR$50,MATCH(8,'Zaman'!$F$9:$AR$9,0))-SUM(F60:AM60),MAX(0,'Vergi'!AN51-SUM(AN53:AN59))),0)</f>
        <v/>
      </c>
      <c r="AO60" s="18">
        <f>IF(AND('Zaman'!AO9&gt;8,'Zaman'!AO9-8&lt;=5),MIN(INDEX('Vergi'!$F$50:$AR$50,MATCH(8,'Zaman'!$F$9:$AR$9,0))-SUM(F60:AN60),MAX(0,'Vergi'!AO51-SUM(AO53:AO59))),0)</f>
        <v/>
      </c>
      <c r="AP60" s="18">
        <f>IF(AND('Zaman'!AP9&gt;8,'Zaman'!AP9-8&lt;=5),MIN(INDEX('Vergi'!$F$50:$AR$50,MATCH(8,'Zaman'!$F$9:$AR$9,0))-SUM(F60:AO60),MAX(0,'Vergi'!AP51-SUM(AP53:AP59))),0)</f>
        <v/>
      </c>
      <c r="AQ60" s="18">
        <f>IF(AND('Zaman'!AQ9&gt;8,'Zaman'!AQ9-8&lt;=5),MIN(INDEX('Vergi'!$F$50:$AR$50,MATCH(8,'Zaman'!$F$9:$AR$9,0))-SUM(F60:AP60),MAX(0,'Vergi'!AQ51-SUM(AQ53:AQ59))),0)</f>
        <v/>
      </c>
      <c r="AR60" s="18">
        <f>IF(AND('Zaman'!AR9&gt;8,'Zaman'!AR9-8&lt;=5),MIN(INDEX('Vergi'!$F$50:$AR$50,MATCH(8,'Zaman'!$F$9:$AR$9,0))-SUM(F60:AQ60),MAX(0,'Vergi'!AR51-SUM(AR53:AR59))),0)</f>
        <v/>
      </c>
    </row>
    <row r="61">
      <c r="A61" t="inlineStr">
        <is>
          <t>Zarar yılı 9 — kullanım</t>
        </is>
      </c>
      <c r="B61" t="inlineStr">
        <is>
          <t>USD</t>
        </is>
      </c>
      <c r="F61" s="18">
        <f>IF(AND('Zaman'!F9&gt;9,'Zaman'!F9-9&lt;=5),MIN(INDEX('Vergi'!$F$50:$AR$50,MATCH(9,'Zaman'!$F$9:$AR$9,0))-0,MAX(0,'Vergi'!F51-SUM(F53:F60))),0)</f>
        <v/>
      </c>
      <c r="G61" s="18">
        <f>IF(AND('Zaman'!G9&gt;9,'Zaman'!G9-9&lt;=5),MIN(INDEX('Vergi'!$F$50:$AR$50,MATCH(9,'Zaman'!$F$9:$AR$9,0))-SUM(F61:F61),MAX(0,'Vergi'!G51-SUM(G53:G60))),0)</f>
        <v/>
      </c>
      <c r="H61" s="18">
        <f>IF(AND('Zaman'!H9&gt;9,'Zaman'!H9-9&lt;=5),MIN(INDEX('Vergi'!$F$50:$AR$50,MATCH(9,'Zaman'!$F$9:$AR$9,0))-SUM(F61:G61),MAX(0,'Vergi'!H51-SUM(H53:H60))),0)</f>
        <v/>
      </c>
      <c r="I61" s="18">
        <f>IF(AND('Zaman'!I9&gt;9,'Zaman'!I9-9&lt;=5),MIN(INDEX('Vergi'!$F$50:$AR$50,MATCH(9,'Zaman'!$F$9:$AR$9,0))-SUM(F61:H61),MAX(0,'Vergi'!I51-SUM(I53:I60))),0)</f>
        <v/>
      </c>
      <c r="J61" s="18">
        <f>IF(AND('Zaman'!J9&gt;9,'Zaman'!J9-9&lt;=5),MIN(INDEX('Vergi'!$F$50:$AR$50,MATCH(9,'Zaman'!$F$9:$AR$9,0))-SUM(F61:I61),MAX(0,'Vergi'!J51-SUM(J53:J60))),0)</f>
        <v/>
      </c>
      <c r="K61" s="18">
        <f>IF(AND('Zaman'!K9&gt;9,'Zaman'!K9-9&lt;=5),MIN(INDEX('Vergi'!$F$50:$AR$50,MATCH(9,'Zaman'!$F$9:$AR$9,0))-SUM(F61:J61),MAX(0,'Vergi'!K51-SUM(K53:K60))),0)</f>
        <v/>
      </c>
      <c r="L61" s="18">
        <f>IF(AND('Zaman'!L9&gt;9,'Zaman'!L9-9&lt;=5),MIN(INDEX('Vergi'!$F$50:$AR$50,MATCH(9,'Zaman'!$F$9:$AR$9,0))-SUM(F61:K61),MAX(0,'Vergi'!L51-SUM(L53:L60))),0)</f>
        <v/>
      </c>
      <c r="M61" s="18">
        <f>IF(AND('Zaman'!M9&gt;9,'Zaman'!M9-9&lt;=5),MIN(INDEX('Vergi'!$F$50:$AR$50,MATCH(9,'Zaman'!$F$9:$AR$9,0))-SUM(F61:L61),MAX(0,'Vergi'!M51-SUM(M53:M60))),0)</f>
        <v/>
      </c>
      <c r="N61" s="18">
        <f>IF(AND('Zaman'!N9&gt;9,'Zaman'!N9-9&lt;=5),MIN(INDEX('Vergi'!$F$50:$AR$50,MATCH(9,'Zaman'!$F$9:$AR$9,0))-SUM(F61:M61),MAX(0,'Vergi'!N51-SUM(N53:N60))),0)</f>
        <v/>
      </c>
      <c r="O61" s="18">
        <f>IF(AND('Zaman'!O9&gt;9,'Zaman'!O9-9&lt;=5),MIN(INDEX('Vergi'!$F$50:$AR$50,MATCH(9,'Zaman'!$F$9:$AR$9,0))-SUM(F61:N61),MAX(0,'Vergi'!O51-SUM(O53:O60))),0)</f>
        <v/>
      </c>
      <c r="P61" s="18">
        <f>IF(AND('Zaman'!P9&gt;9,'Zaman'!P9-9&lt;=5),MIN(INDEX('Vergi'!$F$50:$AR$50,MATCH(9,'Zaman'!$F$9:$AR$9,0))-SUM(F61:O61),MAX(0,'Vergi'!P51-SUM(P53:P60))),0)</f>
        <v/>
      </c>
      <c r="Q61" s="18">
        <f>IF(AND('Zaman'!Q9&gt;9,'Zaman'!Q9-9&lt;=5),MIN(INDEX('Vergi'!$F$50:$AR$50,MATCH(9,'Zaman'!$F$9:$AR$9,0))-SUM(F61:P61),MAX(0,'Vergi'!Q51-SUM(Q53:Q60))),0)</f>
        <v/>
      </c>
      <c r="R61" s="18">
        <f>IF(AND('Zaman'!R9&gt;9,'Zaman'!R9-9&lt;=5),MIN(INDEX('Vergi'!$F$50:$AR$50,MATCH(9,'Zaman'!$F$9:$AR$9,0))-SUM(F61:Q61),MAX(0,'Vergi'!R51-SUM(R53:R60))),0)</f>
        <v/>
      </c>
      <c r="S61" s="18">
        <f>IF(AND('Zaman'!S9&gt;9,'Zaman'!S9-9&lt;=5),MIN(INDEX('Vergi'!$F$50:$AR$50,MATCH(9,'Zaman'!$F$9:$AR$9,0))-SUM(F61:R61),MAX(0,'Vergi'!S51-SUM(S53:S60))),0)</f>
        <v/>
      </c>
      <c r="T61" s="18">
        <f>IF(AND('Zaman'!T9&gt;9,'Zaman'!T9-9&lt;=5),MIN(INDEX('Vergi'!$F$50:$AR$50,MATCH(9,'Zaman'!$F$9:$AR$9,0))-SUM(F61:S61),MAX(0,'Vergi'!T51-SUM(T53:T60))),0)</f>
        <v/>
      </c>
      <c r="U61" s="18">
        <f>IF(AND('Zaman'!U9&gt;9,'Zaman'!U9-9&lt;=5),MIN(INDEX('Vergi'!$F$50:$AR$50,MATCH(9,'Zaman'!$F$9:$AR$9,0))-SUM(F61:T61),MAX(0,'Vergi'!U51-SUM(U53:U60))),0)</f>
        <v/>
      </c>
      <c r="V61" s="18">
        <f>IF(AND('Zaman'!V9&gt;9,'Zaman'!V9-9&lt;=5),MIN(INDEX('Vergi'!$F$50:$AR$50,MATCH(9,'Zaman'!$F$9:$AR$9,0))-SUM(F61:U61),MAX(0,'Vergi'!V51-SUM(V53:V60))),0)</f>
        <v/>
      </c>
      <c r="W61" s="18">
        <f>IF(AND('Zaman'!W9&gt;9,'Zaman'!W9-9&lt;=5),MIN(INDEX('Vergi'!$F$50:$AR$50,MATCH(9,'Zaman'!$F$9:$AR$9,0))-SUM(F61:V61),MAX(0,'Vergi'!W51-SUM(W53:W60))),0)</f>
        <v/>
      </c>
      <c r="X61" s="18">
        <f>IF(AND('Zaman'!X9&gt;9,'Zaman'!X9-9&lt;=5),MIN(INDEX('Vergi'!$F$50:$AR$50,MATCH(9,'Zaman'!$F$9:$AR$9,0))-SUM(F61:W61),MAX(0,'Vergi'!X51-SUM(X53:X60))),0)</f>
        <v/>
      </c>
      <c r="Y61" s="18">
        <f>IF(AND('Zaman'!Y9&gt;9,'Zaman'!Y9-9&lt;=5),MIN(INDEX('Vergi'!$F$50:$AR$50,MATCH(9,'Zaman'!$F$9:$AR$9,0))-SUM(F61:X61),MAX(0,'Vergi'!Y51-SUM(Y53:Y60))),0)</f>
        <v/>
      </c>
      <c r="Z61" s="18">
        <f>IF(AND('Zaman'!Z9&gt;9,'Zaman'!Z9-9&lt;=5),MIN(INDEX('Vergi'!$F$50:$AR$50,MATCH(9,'Zaman'!$F$9:$AR$9,0))-SUM(F61:Y61),MAX(0,'Vergi'!Z51-SUM(Z53:Z60))),0)</f>
        <v/>
      </c>
      <c r="AA61" s="18">
        <f>IF(AND('Zaman'!AA9&gt;9,'Zaman'!AA9-9&lt;=5),MIN(INDEX('Vergi'!$F$50:$AR$50,MATCH(9,'Zaman'!$F$9:$AR$9,0))-SUM(F61:Z61),MAX(0,'Vergi'!AA51-SUM(AA53:AA60))),0)</f>
        <v/>
      </c>
      <c r="AB61" s="18">
        <f>IF(AND('Zaman'!AB9&gt;9,'Zaman'!AB9-9&lt;=5),MIN(INDEX('Vergi'!$F$50:$AR$50,MATCH(9,'Zaman'!$F$9:$AR$9,0))-SUM(F61:AA61),MAX(0,'Vergi'!AB51-SUM(AB53:AB60))),0)</f>
        <v/>
      </c>
      <c r="AC61" s="18">
        <f>IF(AND('Zaman'!AC9&gt;9,'Zaman'!AC9-9&lt;=5),MIN(INDEX('Vergi'!$F$50:$AR$50,MATCH(9,'Zaman'!$F$9:$AR$9,0))-SUM(F61:AB61),MAX(0,'Vergi'!AC51-SUM(AC53:AC60))),0)</f>
        <v/>
      </c>
      <c r="AD61" s="18">
        <f>IF(AND('Zaman'!AD9&gt;9,'Zaman'!AD9-9&lt;=5),MIN(INDEX('Vergi'!$F$50:$AR$50,MATCH(9,'Zaman'!$F$9:$AR$9,0))-SUM(F61:AC61),MAX(0,'Vergi'!AD51-SUM(AD53:AD60))),0)</f>
        <v/>
      </c>
      <c r="AE61" s="18">
        <f>IF(AND('Zaman'!AE9&gt;9,'Zaman'!AE9-9&lt;=5),MIN(INDEX('Vergi'!$F$50:$AR$50,MATCH(9,'Zaman'!$F$9:$AR$9,0))-SUM(F61:AD61),MAX(0,'Vergi'!AE51-SUM(AE53:AE60))),0)</f>
        <v/>
      </c>
      <c r="AF61" s="18">
        <f>IF(AND('Zaman'!AF9&gt;9,'Zaman'!AF9-9&lt;=5),MIN(INDEX('Vergi'!$F$50:$AR$50,MATCH(9,'Zaman'!$F$9:$AR$9,0))-SUM(F61:AE61),MAX(0,'Vergi'!AF51-SUM(AF53:AF60))),0)</f>
        <v/>
      </c>
      <c r="AG61" s="18">
        <f>IF(AND('Zaman'!AG9&gt;9,'Zaman'!AG9-9&lt;=5),MIN(INDEX('Vergi'!$F$50:$AR$50,MATCH(9,'Zaman'!$F$9:$AR$9,0))-SUM(F61:AF61),MAX(0,'Vergi'!AG51-SUM(AG53:AG60))),0)</f>
        <v/>
      </c>
      <c r="AH61" s="18">
        <f>IF(AND('Zaman'!AH9&gt;9,'Zaman'!AH9-9&lt;=5),MIN(INDEX('Vergi'!$F$50:$AR$50,MATCH(9,'Zaman'!$F$9:$AR$9,0))-SUM(F61:AG61),MAX(0,'Vergi'!AH51-SUM(AH53:AH60))),0)</f>
        <v/>
      </c>
      <c r="AI61" s="18">
        <f>IF(AND('Zaman'!AI9&gt;9,'Zaman'!AI9-9&lt;=5),MIN(INDEX('Vergi'!$F$50:$AR$50,MATCH(9,'Zaman'!$F$9:$AR$9,0))-SUM(F61:AH61),MAX(0,'Vergi'!AI51-SUM(AI53:AI60))),0)</f>
        <v/>
      </c>
      <c r="AJ61" s="18">
        <f>IF(AND('Zaman'!AJ9&gt;9,'Zaman'!AJ9-9&lt;=5),MIN(INDEX('Vergi'!$F$50:$AR$50,MATCH(9,'Zaman'!$F$9:$AR$9,0))-SUM(F61:AI61),MAX(0,'Vergi'!AJ51-SUM(AJ53:AJ60))),0)</f>
        <v/>
      </c>
      <c r="AK61" s="18">
        <f>IF(AND('Zaman'!AK9&gt;9,'Zaman'!AK9-9&lt;=5),MIN(INDEX('Vergi'!$F$50:$AR$50,MATCH(9,'Zaman'!$F$9:$AR$9,0))-SUM(F61:AJ61),MAX(0,'Vergi'!AK51-SUM(AK53:AK60))),0)</f>
        <v/>
      </c>
      <c r="AL61" s="18">
        <f>IF(AND('Zaman'!AL9&gt;9,'Zaman'!AL9-9&lt;=5),MIN(INDEX('Vergi'!$F$50:$AR$50,MATCH(9,'Zaman'!$F$9:$AR$9,0))-SUM(F61:AK61),MAX(0,'Vergi'!AL51-SUM(AL53:AL60))),0)</f>
        <v/>
      </c>
      <c r="AM61" s="18">
        <f>IF(AND('Zaman'!AM9&gt;9,'Zaman'!AM9-9&lt;=5),MIN(INDEX('Vergi'!$F$50:$AR$50,MATCH(9,'Zaman'!$F$9:$AR$9,0))-SUM(F61:AL61),MAX(0,'Vergi'!AM51-SUM(AM53:AM60))),0)</f>
        <v/>
      </c>
      <c r="AN61" s="18">
        <f>IF(AND('Zaman'!AN9&gt;9,'Zaman'!AN9-9&lt;=5),MIN(INDEX('Vergi'!$F$50:$AR$50,MATCH(9,'Zaman'!$F$9:$AR$9,0))-SUM(F61:AM61),MAX(0,'Vergi'!AN51-SUM(AN53:AN60))),0)</f>
        <v/>
      </c>
      <c r="AO61" s="18">
        <f>IF(AND('Zaman'!AO9&gt;9,'Zaman'!AO9-9&lt;=5),MIN(INDEX('Vergi'!$F$50:$AR$50,MATCH(9,'Zaman'!$F$9:$AR$9,0))-SUM(F61:AN61),MAX(0,'Vergi'!AO51-SUM(AO53:AO60))),0)</f>
        <v/>
      </c>
      <c r="AP61" s="18">
        <f>IF(AND('Zaman'!AP9&gt;9,'Zaman'!AP9-9&lt;=5),MIN(INDEX('Vergi'!$F$50:$AR$50,MATCH(9,'Zaman'!$F$9:$AR$9,0))-SUM(F61:AO61),MAX(0,'Vergi'!AP51-SUM(AP53:AP60))),0)</f>
        <v/>
      </c>
      <c r="AQ61" s="18">
        <f>IF(AND('Zaman'!AQ9&gt;9,'Zaman'!AQ9-9&lt;=5),MIN(INDEX('Vergi'!$F$50:$AR$50,MATCH(9,'Zaman'!$F$9:$AR$9,0))-SUM(F61:AP61),MAX(0,'Vergi'!AQ51-SUM(AQ53:AQ60))),0)</f>
        <v/>
      </c>
      <c r="AR61" s="18">
        <f>IF(AND('Zaman'!AR9&gt;9,'Zaman'!AR9-9&lt;=5),MIN(INDEX('Vergi'!$F$50:$AR$50,MATCH(9,'Zaman'!$F$9:$AR$9,0))-SUM(F61:AQ61),MAX(0,'Vergi'!AR51-SUM(AR53:AR60))),0)</f>
        <v/>
      </c>
    </row>
    <row r="62">
      <c r="A62" t="inlineStr">
        <is>
          <t>Zarar yılı 10 — kullanım</t>
        </is>
      </c>
      <c r="B62" t="inlineStr">
        <is>
          <t>USD</t>
        </is>
      </c>
      <c r="F62" s="18">
        <f>IF(AND('Zaman'!F9&gt;10,'Zaman'!F9-10&lt;=5),MIN(INDEX('Vergi'!$F$50:$AR$50,MATCH(10,'Zaman'!$F$9:$AR$9,0))-0,MAX(0,'Vergi'!F51-SUM(F53:F61))),0)</f>
        <v/>
      </c>
      <c r="G62" s="18">
        <f>IF(AND('Zaman'!G9&gt;10,'Zaman'!G9-10&lt;=5),MIN(INDEX('Vergi'!$F$50:$AR$50,MATCH(10,'Zaman'!$F$9:$AR$9,0))-SUM(F62:F62),MAX(0,'Vergi'!G51-SUM(G53:G61))),0)</f>
        <v/>
      </c>
      <c r="H62" s="18">
        <f>IF(AND('Zaman'!H9&gt;10,'Zaman'!H9-10&lt;=5),MIN(INDEX('Vergi'!$F$50:$AR$50,MATCH(10,'Zaman'!$F$9:$AR$9,0))-SUM(F62:G62),MAX(0,'Vergi'!H51-SUM(H53:H61))),0)</f>
        <v/>
      </c>
      <c r="I62" s="18">
        <f>IF(AND('Zaman'!I9&gt;10,'Zaman'!I9-10&lt;=5),MIN(INDEX('Vergi'!$F$50:$AR$50,MATCH(10,'Zaman'!$F$9:$AR$9,0))-SUM(F62:H62),MAX(0,'Vergi'!I51-SUM(I53:I61))),0)</f>
        <v/>
      </c>
      <c r="J62" s="18">
        <f>IF(AND('Zaman'!J9&gt;10,'Zaman'!J9-10&lt;=5),MIN(INDEX('Vergi'!$F$50:$AR$50,MATCH(10,'Zaman'!$F$9:$AR$9,0))-SUM(F62:I62),MAX(0,'Vergi'!J51-SUM(J53:J61))),0)</f>
        <v/>
      </c>
      <c r="K62" s="18">
        <f>IF(AND('Zaman'!K9&gt;10,'Zaman'!K9-10&lt;=5),MIN(INDEX('Vergi'!$F$50:$AR$50,MATCH(10,'Zaman'!$F$9:$AR$9,0))-SUM(F62:J62),MAX(0,'Vergi'!K51-SUM(K53:K61))),0)</f>
        <v/>
      </c>
      <c r="L62" s="18">
        <f>IF(AND('Zaman'!L9&gt;10,'Zaman'!L9-10&lt;=5),MIN(INDEX('Vergi'!$F$50:$AR$50,MATCH(10,'Zaman'!$F$9:$AR$9,0))-SUM(F62:K62),MAX(0,'Vergi'!L51-SUM(L53:L61))),0)</f>
        <v/>
      </c>
      <c r="M62" s="18">
        <f>IF(AND('Zaman'!M9&gt;10,'Zaman'!M9-10&lt;=5),MIN(INDEX('Vergi'!$F$50:$AR$50,MATCH(10,'Zaman'!$F$9:$AR$9,0))-SUM(F62:L62),MAX(0,'Vergi'!M51-SUM(M53:M61))),0)</f>
        <v/>
      </c>
      <c r="N62" s="18">
        <f>IF(AND('Zaman'!N9&gt;10,'Zaman'!N9-10&lt;=5),MIN(INDEX('Vergi'!$F$50:$AR$50,MATCH(10,'Zaman'!$F$9:$AR$9,0))-SUM(F62:M62),MAX(0,'Vergi'!N51-SUM(N53:N61))),0)</f>
        <v/>
      </c>
      <c r="O62" s="18">
        <f>IF(AND('Zaman'!O9&gt;10,'Zaman'!O9-10&lt;=5),MIN(INDEX('Vergi'!$F$50:$AR$50,MATCH(10,'Zaman'!$F$9:$AR$9,0))-SUM(F62:N62),MAX(0,'Vergi'!O51-SUM(O53:O61))),0)</f>
        <v/>
      </c>
      <c r="P62" s="18">
        <f>IF(AND('Zaman'!P9&gt;10,'Zaman'!P9-10&lt;=5),MIN(INDEX('Vergi'!$F$50:$AR$50,MATCH(10,'Zaman'!$F$9:$AR$9,0))-SUM(F62:O62),MAX(0,'Vergi'!P51-SUM(P53:P61))),0)</f>
        <v/>
      </c>
      <c r="Q62" s="18">
        <f>IF(AND('Zaman'!Q9&gt;10,'Zaman'!Q9-10&lt;=5),MIN(INDEX('Vergi'!$F$50:$AR$50,MATCH(10,'Zaman'!$F$9:$AR$9,0))-SUM(F62:P62),MAX(0,'Vergi'!Q51-SUM(Q53:Q61))),0)</f>
        <v/>
      </c>
      <c r="R62" s="18">
        <f>IF(AND('Zaman'!R9&gt;10,'Zaman'!R9-10&lt;=5),MIN(INDEX('Vergi'!$F$50:$AR$50,MATCH(10,'Zaman'!$F$9:$AR$9,0))-SUM(F62:Q62),MAX(0,'Vergi'!R51-SUM(R53:R61))),0)</f>
        <v/>
      </c>
      <c r="S62" s="18">
        <f>IF(AND('Zaman'!S9&gt;10,'Zaman'!S9-10&lt;=5),MIN(INDEX('Vergi'!$F$50:$AR$50,MATCH(10,'Zaman'!$F$9:$AR$9,0))-SUM(F62:R62),MAX(0,'Vergi'!S51-SUM(S53:S61))),0)</f>
        <v/>
      </c>
      <c r="T62" s="18">
        <f>IF(AND('Zaman'!T9&gt;10,'Zaman'!T9-10&lt;=5),MIN(INDEX('Vergi'!$F$50:$AR$50,MATCH(10,'Zaman'!$F$9:$AR$9,0))-SUM(F62:S62),MAX(0,'Vergi'!T51-SUM(T53:T61))),0)</f>
        <v/>
      </c>
      <c r="U62" s="18">
        <f>IF(AND('Zaman'!U9&gt;10,'Zaman'!U9-10&lt;=5),MIN(INDEX('Vergi'!$F$50:$AR$50,MATCH(10,'Zaman'!$F$9:$AR$9,0))-SUM(F62:T62),MAX(0,'Vergi'!U51-SUM(U53:U61))),0)</f>
        <v/>
      </c>
      <c r="V62" s="18">
        <f>IF(AND('Zaman'!V9&gt;10,'Zaman'!V9-10&lt;=5),MIN(INDEX('Vergi'!$F$50:$AR$50,MATCH(10,'Zaman'!$F$9:$AR$9,0))-SUM(F62:U62),MAX(0,'Vergi'!V51-SUM(V53:V61))),0)</f>
        <v/>
      </c>
      <c r="W62" s="18">
        <f>IF(AND('Zaman'!W9&gt;10,'Zaman'!W9-10&lt;=5),MIN(INDEX('Vergi'!$F$50:$AR$50,MATCH(10,'Zaman'!$F$9:$AR$9,0))-SUM(F62:V62),MAX(0,'Vergi'!W51-SUM(W53:W61))),0)</f>
        <v/>
      </c>
      <c r="X62" s="18">
        <f>IF(AND('Zaman'!X9&gt;10,'Zaman'!X9-10&lt;=5),MIN(INDEX('Vergi'!$F$50:$AR$50,MATCH(10,'Zaman'!$F$9:$AR$9,0))-SUM(F62:W62),MAX(0,'Vergi'!X51-SUM(X53:X61))),0)</f>
        <v/>
      </c>
      <c r="Y62" s="18">
        <f>IF(AND('Zaman'!Y9&gt;10,'Zaman'!Y9-10&lt;=5),MIN(INDEX('Vergi'!$F$50:$AR$50,MATCH(10,'Zaman'!$F$9:$AR$9,0))-SUM(F62:X62),MAX(0,'Vergi'!Y51-SUM(Y53:Y61))),0)</f>
        <v/>
      </c>
      <c r="Z62" s="18">
        <f>IF(AND('Zaman'!Z9&gt;10,'Zaman'!Z9-10&lt;=5),MIN(INDEX('Vergi'!$F$50:$AR$50,MATCH(10,'Zaman'!$F$9:$AR$9,0))-SUM(F62:Y62),MAX(0,'Vergi'!Z51-SUM(Z53:Z61))),0)</f>
        <v/>
      </c>
      <c r="AA62" s="18">
        <f>IF(AND('Zaman'!AA9&gt;10,'Zaman'!AA9-10&lt;=5),MIN(INDEX('Vergi'!$F$50:$AR$50,MATCH(10,'Zaman'!$F$9:$AR$9,0))-SUM(F62:Z62),MAX(0,'Vergi'!AA51-SUM(AA53:AA61))),0)</f>
        <v/>
      </c>
      <c r="AB62" s="18">
        <f>IF(AND('Zaman'!AB9&gt;10,'Zaman'!AB9-10&lt;=5),MIN(INDEX('Vergi'!$F$50:$AR$50,MATCH(10,'Zaman'!$F$9:$AR$9,0))-SUM(F62:AA62),MAX(0,'Vergi'!AB51-SUM(AB53:AB61))),0)</f>
        <v/>
      </c>
      <c r="AC62" s="18">
        <f>IF(AND('Zaman'!AC9&gt;10,'Zaman'!AC9-10&lt;=5),MIN(INDEX('Vergi'!$F$50:$AR$50,MATCH(10,'Zaman'!$F$9:$AR$9,0))-SUM(F62:AB62),MAX(0,'Vergi'!AC51-SUM(AC53:AC61))),0)</f>
        <v/>
      </c>
      <c r="AD62" s="18">
        <f>IF(AND('Zaman'!AD9&gt;10,'Zaman'!AD9-10&lt;=5),MIN(INDEX('Vergi'!$F$50:$AR$50,MATCH(10,'Zaman'!$F$9:$AR$9,0))-SUM(F62:AC62),MAX(0,'Vergi'!AD51-SUM(AD53:AD61))),0)</f>
        <v/>
      </c>
      <c r="AE62" s="18">
        <f>IF(AND('Zaman'!AE9&gt;10,'Zaman'!AE9-10&lt;=5),MIN(INDEX('Vergi'!$F$50:$AR$50,MATCH(10,'Zaman'!$F$9:$AR$9,0))-SUM(F62:AD62),MAX(0,'Vergi'!AE51-SUM(AE53:AE61))),0)</f>
        <v/>
      </c>
      <c r="AF62" s="18">
        <f>IF(AND('Zaman'!AF9&gt;10,'Zaman'!AF9-10&lt;=5),MIN(INDEX('Vergi'!$F$50:$AR$50,MATCH(10,'Zaman'!$F$9:$AR$9,0))-SUM(F62:AE62),MAX(0,'Vergi'!AF51-SUM(AF53:AF61))),0)</f>
        <v/>
      </c>
      <c r="AG62" s="18">
        <f>IF(AND('Zaman'!AG9&gt;10,'Zaman'!AG9-10&lt;=5),MIN(INDEX('Vergi'!$F$50:$AR$50,MATCH(10,'Zaman'!$F$9:$AR$9,0))-SUM(F62:AF62),MAX(0,'Vergi'!AG51-SUM(AG53:AG61))),0)</f>
        <v/>
      </c>
      <c r="AH62" s="18">
        <f>IF(AND('Zaman'!AH9&gt;10,'Zaman'!AH9-10&lt;=5),MIN(INDEX('Vergi'!$F$50:$AR$50,MATCH(10,'Zaman'!$F$9:$AR$9,0))-SUM(F62:AG62),MAX(0,'Vergi'!AH51-SUM(AH53:AH61))),0)</f>
        <v/>
      </c>
      <c r="AI62" s="18">
        <f>IF(AND('Zaman'!AI9&gt;10,'Zaman'!AI9-10&lt;=5),MIN(INDEX('Vergi'!$F$50:$AR$50,MATCH(10,'Zaman'!$F$9:$AR$9,0))-SUM(F62:AH62),MAX(0,'Vergi'!AI51-SUM(AI53:AI61))),0)</f>
        <v/>
      </c>
      <c r="AJ62" s="18">
        <f>IF(AND('Zaman'!AJ9&gt;10,'Zaman'!AJ9-10&lt;=5),MIN(INDEX('Vergi'!$F$50:$AR$50,MATCH(10,'Zaman'!$F$9:$AR$9,0))-SUM(F62:AI62),MAX(0,'Vergi'!AJ51-SUM(AJ53:AJ61))),0)</f>
        <v/>
      </c>
      <c r="AK62" s="18">
        <f>IF(AND('Zaman'!AK9&gt;10,'Zaman'!AK9-10&lt;=5),MIN(INDEX('Vergi'!$F$50:$AR$50,MATCH(10,'Zaman'!$F$9:$AR$9,0))-SUM(F62:AJ62),MAX(0,'Vergi'!AK51-SUM(AK53:AK61))),0)</f>
        <v/>
      </c>
      <c r="AL62" s="18">
        <f>IF(AND('Zaman'!AL9&gt;10,'Zaman'!AL9-10&lt;=5),MIN(INDEX('Vergi'!$F$50:$AR$50,MATCH(10,'Zaman'!$F$9:$AR$9,0))-SUM(F62:AK62),MAX(0,'Vergi'!AL51-SUM(AL53:AL61))),0)</f>
        <v/>
      </c>
      <c r="AM62" s="18">
        <f>IF(AND('Zaman'!AM9&gt;10,'Zaman'!AM9-10&lt;=5),MIN(INDEX('Vergi'!$F$50:$AR$50,MATCH(10,'Zaman'!$F$9:$AR$9,0))-SUM(F62:AL62),MAX(0,'Vergi'!AM51-SUM(AM53:AM61))),0)</f>
        <v/>
      </c>
      <c r="AN62" s="18">
        <f>IF(AND('Zaman'!AN9&gt;10,'Zaman'!AN9-10&lt;=5),MIN(INDEX('Vergi'!$F$50:$AR$50,MATCH(10,'Zaman'!$F$9:$AR$9,0))-SUM(F62:AM62),MAX(0,'Vergi'!AN51-SUM(AN53:AN61))),0)</f>
        <v/>
      </c>
      <c r="AO62" s="18">
        <f>IF(AND('Zaman'!AO9&gt;10,'Zaman'!AO9-10&lt;=5),MIN(INDEX('Vergi'!$F$50:$AR$50,MATCH(10,'Zaman'!$F$9:$AR$9,0))-SUM(F62:AN62),MAX(0,'Vergi'!AO51-SUM(AO53:AO61))),0)</f>
        <v/>
      </c>
      <c r="AP62" s="18">
        <f>IF(AND('Zaman'!AP9&gt;10,'Zaman'!AP9-10&lt;=5),MIN(INDEX('Vergi'!$F$50:$AR$50,MATCH(10,'Zaman'!$F$9:$AR$9,0))-SUM(F62:AO62),MAX(0,'Vergi'!AP51-SUM(AP53:AP61))),0)</f>
        <v/>
      </c>
      <c r="AQ62" s="18">
        <f>IF(AND('Zaman'!AQ9&gt;10,'Zaman'!AQ9-10&lt;=5),MIN(INDEX('Vergi'!$F$50:$AR$50,MATCH(10,'Zaman'!$F$9:$AR$9,0))-SUM(F62:AP62),MAX(0,'Vergi'!AQ51-SUM(AQ53:AQ61))),0)</f>
        <v/>
      </c>
      <c r="AR62" s="18">
        <f>IF(AND('Zaman'!AR9&gt;10,'Zaman'!AR9-10&lt;=5),MIN(INDEX('Vergi'!$F$50:$AR$50,MATCH(10,'Zaman'!$F$9:$AR$9,0))-SUM(F62:AQ62),MAX(0,'Vergi'!AR51-SUM(AR53:AR61))),0)</f>
        <v/>
      </c>
    </row>
    <row r="63">
      <c r="A63" t="inlineStr">
        <is>
          <t>Zarar yılı 11 — kullanım</t>
        </is>
      </c>
      <c r="B63" t="inlineStr">
        <is>
          <t>USD</t>
        </is>
      </c>
      <c r="F63" s="18">
        <f>IF(AND('Zaman'!F9&gt;11,'Zaman'!F9-11&lt;=5),MIN(INDEX('Vergi'!$F$50:$AR$50,MATCH(11,'Zaman'!$F$9:$AR$9,0))-0,MAX(0,'Vergi'!F51-SUM(F53:F62))),0)</f>
        <v/>
      </c>
      <c r="G63" s="18">
        <f>IF(AND('Zaman'!G9&gt;11,'Zaman'!G9-11&lt;=5),MIN(INDEX('Vergi'!$F$50:$AR$50,MATCH(11,'Zaman'!$F$9:$AR$9,0))-SUM(F63:F63),MAX(0,'Vergi'!G51-SUM(G53:G62))),0)</f>
        <v/>
      </c>
      <c r="H63" s="18">
        <f>IF(AND('Zaman'!H9&gt;11,'Zaman'!H9-11&lt;=5),MIN(INDEX('Vergi'!$F$50:$AR$50,MATCH(11,'Zaman'!$F$9:$AR$9,0))-SUM(F63:G63),MAX(0,'Vergi'!H51-SUM(H53:H62))),0)</f>
        <v/>
      </c>
      <c r="I63" s="18">
        <f>IF(AND('Zaman'!I9&gt;11,'Zaman'!I9-11&lt;=5),MIN(INDEX('Vergi'!$F$50:$AR$50,MATCH(11,'Zaman'!$F$9:$AR$9,0))-SUM(F63:H63),MAX(0,'Vergi'!I51-SUM(I53:I62))),0)</f>
        <v/>
      </c>
      <c r="J63" s="18">
        <f>IF(AND('Zaman'!J9&gt;11,'Zaman'!J9-11&lt;=5),MIN(INDEX('Vergi'!$F$50:$AR$50,MATCH(11,'Zaman'!$F$9:$AR$9,0))-SUM(F63:I63),MAX(0,'Vergi'!J51-SUM(J53:J62))),0)</f>
        <v/>
      </c>
      <c r="K63" s="18">
        <f>IF(AND('Zaman'!K9&gt;11,'Zaman'!K9-11&lt;=5),MIN(INDEX('Vergi'!$F$50:$AR$50,MATCH(11,'Zaman'!$F$9:$AR$9,0))-SUM(F63:J63),MAX(0,'Vergi'!K51-SUM(K53:K62))),0)</f>
        <v/>
      </c>
      <c r="L63" s="18">
        <f>IF(AND('Zaman'!L9&gt;11,'Zaman'!L9-11&lt;=5),MIN(INDEX('Vergi'!$F$50:$AR$50,MATCH(11,'Zaman'!$F$9:$AR$9,0))-SUM(F63:K63),MAX(0,'Vergi'!L51-SUM(L53:L62))),0)</f>
        <v/>
      </c>
      <c r="M63" s="18">
        <f>IF(AND('Zaman'!M9&gt;11,'Zaman'!M9-11&lt;=5),MIN(INDEX('Vergi'!$F$50:$AR$50,MATCH(11,'Zaman'!$F$9:$AR$9,0))-SUM(F63:L63),MAX(0,'Vergi'!M51-SUM(M53:M62))),0)</f>
        <v/>
      </c>
      <c r="N63" s="18">
        <f>IF(AND('Zaman'!N9&gt;11,'Zaman'!N9-11&lt;=5),MIN(INDEX('Vergi'!$F$50:$AR$50,MATCH(11,'Zaman'!$F$9:$AR$9,0))-SUM(F63:M63),MAX(0,'Vergi'!N51-SUM(N53:N62))),0)</f>
        <v/>
      </c>
      <c r="O63" s="18">
        <f>IF(AND('Zaman'!O9&gt;11,'Zaman'!O9-11&lt;=5),MIN(INDEX('Vergi'!$F$50:$AR$50,MATCH(11,'Zaman'!$F$9:$AR$9,0))-SUM(F63:N63),MAX(0,'Vergi'!O51-SUM(O53:O62))),0)</f>
        <v/>
      </c>
      <c r="P63" s="18">
        <f>IF(AND('Zaman'!P9&gt;11,'Zaman'!P9-11&lt;=5),MIN(INDEX('Vergi'!$F$50:$AR$50,MATCH(11,'Zaman'!$F$9:$AR$9,0))-SUM(F63:O63),MAX(0,'Vergi'!P51-SUM(P53:P62))),0)</f>
        <v/>
      </c>
      <c r="Q63" s="18">
        <f>IF(AND('Zaman'!Q9&gt;11,'Zaman'!Q9-11&lt;=5),MIN(INDEX('Vergi'!$F$50:$AR$50,MATCH(11,'Zaman'!$F$9:$AR$9,0))-SUM(F63:P63),MAX(0,'Vergi'!Q51-SUM(Q53:Q62))),0)</f>
        <v/>
      </c>
      <c r="R63" s="18">
        <f>IF(AND('Zaman'!R9&gt;11,'Zaman'!R9-11&lt;=5),MIN(INDEX('Vergi'!$F$50:$AR$50,MATCH(11,'Zaman'!$F$9:$AR$9,0))-SUM(F63:Q63),MAX(0,'Vergi'!R51-SUM(R53:R62))),0)</f>
        <v/>
      </c>
      <c r="S63" s="18">
        <f>IF(AND('Zaman'!S9&gt;11,'Zaman'!S9-11&lt;=5),MIN(INDEX('Vergi'!$F$50:$AR$50,MATCH(11,'Zaman'!$F$9:$AR$9,0))-SUM(F63:R63),MAX(0,'Vergi'!S51-SUM(S53:S62))),0)</f>
        <v/>
      </c>
      <c r="T63" s="18">
        <f>IF(AND('Zaman'!T9&gt;11,'Zaman'!T9-11&lt;=5),MIN(INDEX('Vergi'!$F$50:$AR$50,MATCH(11,'Zaman'!$F$9:$AR$9,0))-SUM(F63:S63),MAX(0,'Vergi'!T51-SUM(T53:T62))),0)</f>
        <v/>
      </c>
      <c r="U63" s="18">
        <f>IF(AND('Zaman'!U9&gt;11,'Zaman'!U9-11&lt;=5),MIN(INDEX('Vergi'!$F$50:$AR$50,MATCH(11,'Zaman'!$F$9:$AR$9,0))-SUM(F63:T63),MAX(0,'Vergi'!U51-SUM(U53:U62))),0)</f>
        <v/>
      </c>
      <c r="V63" s="18">
        <f>IF(AND('Zaman'!V9&gt;11,'Zaman'!V9-11&lt;=5),MIN(INDEX('Vergi'!$F$50:$AR$50,MATCH(11,'Zaman'!$F$9:$AR$9,0))-SUM(F63:U63),MAX(0,'Vergi'!V51-SUM(V53:V62))),0)</f>
        <v/>
      </c>
      <c r="W63" s="18">
        <f>IF(AND('Zaman'!W9&gt;11,'Zaman'!W9-11&lt;=5),MIN(INDEX('Vergi'!$F$50:$AR$50,MATCH(11,'Zaman'!$F$9:$AR$9,0))-SUM(F63:V63),MAX(0,'Vergi'!W51-SUM(W53:W62))),0)</f>
        <v/>
      </c>
      <c r="X63" s="18">
        <f>IF(AND('Zaman'!X9&gt;11,'Zaman'!X9-11&lt;=5),MIN(INDEX('Vergi'!$F$50:$AR$50,MATCH(11,'Zaman'!$F$9:$AR$9,0))-SUM(F63:W63),MAX(0,'Vergi'!X51-SUM(X53:X62))),0)</f>
        <v/>
      </c>
      <c r="Y63" s="18">
        <f>IF(AND('Zaman'!Y9&gt;11,'Zaman'!Y9-11&lt;=5),MIN(INDEX('Vergi'!$F$50:$AR$50,MATCH(11,'Zaman'!$F$9:$AR$9,0))-SUM(F63:X63),MAX(0,'Vergi'!Y51-SUM(Y53:Y62))),0)</f>
        <v/>
      </c>
      <c r="Z63" s="18">
        <f>IF(AND('Zaman'!Z9&gt;11,'Zaman'!Z9-11&lt;=5),MIN(INDEX('Vergi'!$F$50:$AR$50,MATCH(11,'Zaman'!$F$9:$AR$9,0))-SUM(F63:Y63),MAX(0,'Vergi'!Z51-SUM(Z53:Z62))),0)</f>
        <v/>
      </c>
      <c r="AA63" s="18">
        <f>IF(AND('Zaman'!AA9&gt;11,'Zaman'!AA9-11&lt;=5),MIN(INDEX('Vergi'!$F$50:$AR$50,MATCH(11,'Zaman'!$F$9:$AR$9,0))-SUM(F63:Z63),MAX(0,'Vergi'!AA51-SUM(AA53:AA62))),0)</f>
        <v/>
      </c>
      <c r="AB63" s="18">
        <f>IF(AND('Zaman'!AB9&gt;11,'Zaman'!AB9-11&lt;=5),MIN(INDEX('Vergi'!$F$50:$AR$50,MATCH(11,'Zaman'!$F$9:$AR$9,0))-SUM(F63:AA63),MAX(0,'Vergi'!AB51-SUM(AB53:AB62))),0)</f>
        <v/>
      </c>
      <c r="AC63" s="18">
        <f>IF(AND('Zaman'!AC9&gt;11,'Zaman'!AC9-11&lt;=5),MIN(INDEX('Vergi'!$F$50:$AR$50,MATCH(11,'Zaman'!$F$9:$AR$9,0))-SUM(F63:AB63),MAX(0,'Vergi'!AC51-SUM(AC53:AC62))),0)</f>
        <v/>
      </c>
      <c r="AD63" s="18">
        <f>IF(AND('Zaman'!AD9&gt;11,'Zaman'!AD9-11&lt;=5),MIN(INDEX('Vergi'!$F$50:$AR$50,MATCH(11,'Zaman'!$F$9:$AR$9,0))-SUM(F63:AC63),MAX(0,'Vergi'!AD51-SUM(AD53:AD62))),0)</f>
        <v/>
      </c>
      <c r="AE63" s="18">
        <f>IF(AND('Zaman'!AE9&gt;11,'Zaman'!AE9-11&lt;=5),MIN(INDEX('Vergi'!$F$50:$AR$50,MATCH(11,'Zaman'!$F$9:$AR$9,0))-SUM(F63:AD63),MAX(0,'Vergi'!AE51-SUM(AE53:AE62))),0)</f>
        <v/>
      </c>
      <c r="AF63" s="18">
        <f>IF(AND('Zaman'!AF9&gt;11,'Zaman'!AF9-11&lt;=5),MIN(INDEX('Vergi'!$F$50:$AR$50,MATCH(11,'Zaman'!$F$9:$AR$9,0))-SUM(F63:AE63),MAX(0,'Vergi'!AF51-SUM(AF53:AF62))),0)</f>
        <v/>
      </c>
      <c r="AG63" s="18">
        <f>IF(AND('Zaman'!AG9&gt;11,'Zaman'!AG9-11&lt;=5),MIN(INDEX('Vergi'!$F$50:$AR$50,MATCH(11,'Zaman'!$F$9:$AR$9,0))-SUM(F63:AF63),MAX(0,'Vergi'!AG51-SUM(AG53:AG62))),0)</f>
        <v/>
      </c>
      <c r="AH63" s="18">
        <f>IF(AND('Zaman'!AH9&gt;11,'Zaman'!AH9-11&lt;=5),MIN(INDEX('Vergi'!$F$50:$AR$50,MATCH(11,'Zaman'!$F$9:$AR$9,0))-SUM(F63:AG63),MAX(0,'Vergi'!AH51-SUM(AH53:AH62))),0)</f>
        <v/>
      </c>
      <c r="AI63" s="18">
        <f>IF(AND('Zaman'!AI9&gt;11,'Zaman'!AI9-11&lt;=5),MIN(INDEX('Vergi'!$F$50:$AR$50,MATCH(11,'Zaman'!$F$9:$AR$9,0))-SUM(F63:AH63),MAX(0,'Vergi'!AI51-SUM(AI53:AI62))),0)</f>
        <v/>
      </c>
      <c r="AJ63" s="18">
        <f>IF(AND('Zaman'!AJ9&gt;11,'Zaman'!AJ9-11&lt;=5),MIN(INDEX('Vergi'!$F$50:$AR$50,MATCH(11,'Zaman'!$F$9:$AR$9,0))-SUM(F63:AI63),MAX(0,'Vergi'!AJ51-SUM(AJ53:AJ62))),0)</f>
        <v/>
      </c>
      <c r="AK63" s="18">
        <f>IF(AND('Zaman'!AK9&gt;11,'Zaman'!AK9-11&lt;=5),MIN(INDEX('Vergi'!$F$50:$AR$50,MATCH(11,'Zaman'!$F$9:$AR$9,0))-SUM(F63:AJ63),MAX(0,'Vergi'!AK51-SUM(AK53:AK62))),0)</f>
        <v/>
      </c>
      <c r="AL63" s="18">
        <f>IF(AND('Zaman'!AL9&gt;11,'Zaman'!AL9-11&lt;=5),MIN(INDEX('Vergi'!$F$50:$AR$50,MATCH(11,'Zaman'!$F$9:$AR$9,0))-SUM(F63:AK63),MAX(0,'Vergi'!AL51-SUM(AL53:AL62))),0)</f>
        <v/>
      </c>
      <c r="AM63" s="18">
        <f>IF(AND('Zaman'!AM9&gt;11,'Zaman'!AM9-11&lt;=5),MIN(INDEX('Vergi'!$F$50:$AR$50,MATCH(11,'Zaman'!$F$9:$AR$9,0))-SUM(F63:AL63),MAX(0,'Vergi'!AM51-SUM(AM53:AM62))),0)</f>
        <v/>
      </c>
      <c r="AN63" s="18">
        <f>IF(AND('Zaman'!AN9&gt;11,'Zaman'!AN9-11&lt;=5),MIN(INDEX('Vergi'!$F$50:$AR$50,MATCH(11,'Zaman'!$F$9:$AR$9,0))-SUM(F63:AM63),MAX(0,'Vergi'!AN51-SUM(AN53:AN62))),0)</f>
        <v/>
      </c>
      <c r="AO63" s="18">
        <f>IF(AND('Zaman'!AO9&gt;11,'Zaman'!AO9-11&lt;=5),MIN(INDEX('Vergi'!$F$50:$AR$50,MATCH(11,'Zaman'!$F$9:$AR$9,0))-SUM(F63:AN63),MAX(0,'Vergi'!AO51-SUM(AO53:AO62))),0)</f>
        <v/>
      </c>
      <c r="AP63" s="18">
        <f>IF(AND('Zaman'!AP9&gt;11,'Zaman'!AP9-11&lt;=5),MIN(INDEX('Vergi'!$F$50:$AR$50,MATCH(11,'Zaman'!$F$9:$AR$9,0))-SUM(F63:AO63),MAX(0,'Vergi'!AP51-SUM(AP53:AP62))),0)</f>
        <v/>
      </c>
      <c r="AQ63" s="18">
        <f>IF(AND('Zaman'!AQ9&gt;11,'Zaman'!AQ9-11&lt;=5),MIN(INDEX('Vergi'!$F$50:$AR$50,MATCH(11,'Zaman'!$F$9:$AR$9,0))-SUM(F63:AP63),MAX(0,'Vergi'!AQ51-SUM(AQ53:AQ62))),0)</f>
        <v/>
      </c>
      <c r="AR63" s="18">
        <f>IF(AND('Zaman'!AR9&gt;11,'Zaman'!AR9-11&lt;=5),MIN(INDEX('Vergi'!$F$50:$AR$50,MATCH(11,'Zaman'!$F$9:$AR$9,0))-SUM(F63:AQ63),MAX(0,'Vergi'!AR51-SUM(AR53:AR62))),0)</f>
        <v/>
      </c>
    </row>
    <row r="64">
      <c r="A64" t="inlineStr">
        <is>
          <t>Zarar yılı 12 — kullanım</t>
        </is>
      </c>
      <c r="B64" t="inlineStr">
        <is>
          <t>USD</t>
        </is>
      </c>
      <c r="F64" s="18">
        <f>IF(AND('Zaman'!F9&gt;12,'Zaman'!F9-12&lt;=5),MIN(INDEX('Vergi'!$F$50:$AR$50,MATCH(12,'Zaman'!$F$9:$AR$9,0))-0,MAX(0,'Vergi'!F51-SUM(F53:F63))),0)</f>
        <v/>
      </c>
      <c r="G64" s="18">
        <f>IF(AND('Zaman'!G9&gt;12,'Zaman'!G9-12&lt;=5),MIN(INDEX('Vergi'!$F$50:$AR$50,MATCH(12,'Zaman'!$F$9:$AR$9,0))-SUM(F64:F64),MAX(0,'Vergi'!G51-SUM(G53:G63))),0)</f>
        <v/>
      </c>
      <c r="H64" s="18">
        <f>IF(AND('Zaman'!H9&gt;12,'Zaman'!H9-12&lt;=5),MIN(INDEX('Vergi'!$F$50:$AR$50,MATCH(12,'Zaman'!$F$9:$AR$9,0))-SUM(F64:G64),MAX(0,'Vergi'!H51-SUM(H53:H63))),0)</f>
        <v/>
      </c>
      <c r="I64" s="18">
        <f>IF(AND('Zaman'!I9&gt;12,'Zaman'!I9-12&lt;=5),MIN(INDEX('Vergi'!$F$50:$AR$50,MATCH(12,'Zaman'!$F$9:$AR$9,0))-SUM(F64:H64),MAX(0,'Vergi'!I51-SUM(I53:I63))),0)</f>
        <v/>
      </c>
      <c r="J64" s="18">
        <f>IF(AND('Zaman'!J9&gt;12,'Zaman'!J9-12&lt;=5),MIN(INDEX('Vergi'!$F$50:$AR$50,MATCH(12,'Zaman'!$F$9:$AR$9,0))-SUM(F64:I64),MAX(0,'Vergi'!J51-SUM(J53:J63))),0)</f>
        <v/>
      </c>
      <c r="K64" s="18">
        <f>IF(AND('Zaman'!K9&gt;12,'Zaman'!K9-12&lt;=5),MIN(INDEX('Vergi'!$F$50:$AR$50,MATCH(12,'Zaman'!$F$9:$AR$9,0))-SUM(F64:J64),MAX(0,'Vergi'!K51-SUM(K53:K63))),0)</f>
        <v/>
      </c>
      <c r="L64" s="18">
        <f>IF(AND('Zaman'!L9&gt;12,'Zaman'!L9-12&lt;=5),MIN(INDEX('Vergi'!$F$50:$AR$50,MATCH(12,'Zaman'!$F$9:$AR$9,0))-SUM(F64:K64),MAX(0,'Vergi'!L51-SUM(L53:L63))),0)</f>
        <v/>
      </c>
      <c r="M64" s="18">
        <f>IF(AND('Zaman'!M9&gt;12,'Zaman'!M9-12&lt;=5),MIN(INDEX('Vergi'!$F$50:$AR$50,MATCH(12,'Zaman'!$F$9:$AR$9,0))-SUM(F64:L64),MAX(0,'Vergi'!M51-SUM(M53:M63))),0)</f>
        <v/>
      </c>
      <c r="N64" s="18">
        <f>IF(AND('Zaman'!N9&gt;12,'Zaman'!N9-12&lt;=5),MIN(INDEX('Vergi'!$F$50:$AR$50,MATCH(12,'Zaman'!$F$9:$AR$9,0))-SUM(F64:M64),MAX(0,'Vergi'!N51-SUM(N53:N63))),0)</f>
        <v/>
      </c>
      <c r="O64" s="18">
        <f>IF(AND('Zaman'!O9&gt;12,'Zaman'!O9-12&lt;=5),MIN(INDEX('Vergi'!$F$50:$AR$50,MATCH(12,'Zaman'!$F$9:$AR$9,0))-SUM(F64:N64),MAX(0,'Vergi'!O51-SUM(O53:O63))),0)</f>
        <v/>
      </c>
      <c r="P64" s="18">
        <f>IF(AND('Zaman'!P9&gt;12,'Zaman'!P9-12&lt;=5),MIN(INDEX('Vergi'!$F$50:$AR$50,MATCH(12,'Zaman'!$F$9:$AR$9,0))-SUM(F64:O64),MAX(0,'Vergi'!P51-SUM(P53:P63))),0)</f>
        <v/>
      </c>
      <c r="Q64" s="18">
        <f>IF(AND('Zaman'!Q9&gt;12,'Zaman'!Q9-12&lt;=5),MIN(INDEX('Vergi'!$F$50:$AR$50,MATCH(12,'Zaman'!$F$9:$AR$9,0))-SUM(F64:P64),MAX(0,'Vergi'!Q51-SUM(Q53:Q63))),0)</f>
        <v/>
      </c>
      <c r="R64" s="18">
        <f>IF(AND('Zaman'!R9&gt;12,'Zaman'!R9-12&lt;=5),MIN(INDEX('Vergi'!$F$50:$AR$50,MATCH(12,'Zaman'!$F$9:$AR$9,0))-SUM(F64:Q64),MAX(0,'Vergi'!R51-SUM(R53:R63))),0)</f>
        <v/>
      </c>
      <c r="S64" s="18">
        <f>IF(AND('Zaman'!S9&gt;12,'Zaman'!S9-12&lt;=5),MIN(INDEX('Vergi'!$F$50:$AR$50,MATCH(12,'Zaman'!$F$9:$AR$9,0))-SUM(F64:R64),MAX(0,'Vergi'!S51-SUM(S53:S63))),0)</f>
        <v/>
      </c>
      <c r="T64" s="18">
        <f>IF(AND('Zaman'!T9&gt;12,'Zaman'!T9-12&lt;=5),MIN(INDEX('Vergi'!$F$50:$AR$50,MATCH(12,'Zaman'!$F$9:$AR$9,0))-SUM(F64:S64),MAX(0,'Vergi'!T51-SUM(T53:T63))),0)</f>
        <v/>
      </c>
      <c r="U64" s="18">
        <f>IF(AND('Zaman'!U9&gt;12,'Zaman'!U9-12&lt;=5),MIN(INDEX('Vergi'!$F$50:$AR$50,MATCH(12,'Zaman'!$F$9:$AR$9,0))-SUM(F64:T64),MAX(0,'Vergi'!U51-SUM(U53:U63))),0)</f>
        <v/>
      </c>
      <c r="V64" s="18">
        <f>IF(AND('Zaman'!V9&gt;12,'Zaman'!V9-12&lt;=5),MIN(INDEX('Vergi'!$F$50:$AR$50,MATCH(12,'Zaman'!$F$9:$AR$9,0))-SUM(F64:U64),MAX(0,'Vergi'!V51-SUM(V53:V63))),0)</f>
        <v/>
      </c>
      <c r="W64" s="18">
        <f>IF(AND('Zaman'!W9&gt;12,'Zaman'!W9-12&lt;=5),MIN(INDEX('Vergi'!$F$50:$AR$50,MATCH(12,'Zaman'!$F$9:$AR$9,0))-SUM(F64:V64),MAX(0,'Vergi'!W51-SUM(W53:W63))),0)</f>
        <v/>
      </c>
      <c r="X64" s="18">
        <f>IF(AND('Zaman'!X9&gt;12,'Zaman'!X9-12&lt;=5),MIN(INDEX('Vergi'!$F$50:$AR$50,MATCH(12,'Zaman'!$F$9:$AR$9,0))-SUM(F64:W64),MAX(0,'Vergi'!X51-SUM(X53:X63))),0)</f>
        <v/>
      </c>
      <c r="Y64" s="18">
        <f>IF(AND('Zaman'!Y9&gt;12,'Zaman'!Y9-12&lt;=5),MIN(INDEX('Vergi'!$F$50:$AR$50,MATCH(12,'Zaman'!$F$9:$AR$9,0))-SUM(F64:X64),MAX(0,'Vergi'!Y51-SUM(Y53:Y63))),0)</f>
        <v/>
      </c>
      <c r="Z64" s="18">
        <f>IF(AND('Zaman'!Z9&gt;12,'Zaman'!Z9-12&lt;=5),MIN(INDEX('Vergi'!$F$50:$AR$50,MATCH(12,'Zaman'!$F$9:$AR$9,0))-SUM(F64:Y64),MAX(0,'Vergi'!Z51-SUM(Z53:Z63))),0)</f>
        <v/>
      </c>
      <c r="AA64" s="18">
        <f>IF(AND('Zaman'!AA9&gt;12,'Zaman'!AA9-12&lt;=5),MIN(INDEX('Vergi'!$F$50:$AR$50,MATCH(12,'Zaman'!$F$9:$AR$9,0))-SUM(F64:Z64),MAX(0,'Vergi'!AA51-SUM(AA53:AA63))),0)</f>
        <v/>
      </c>
      <c r="AB64" s="18">
        <f>IF(AND('Zaman'!AB9&gt;12,'Zaman'!AB9-12&lt;=5),MIN(INDEX('Vergi'!$F$50:$AR$50,MATCH(12,'Zaman'!$F$9:$AR$9,0))-SUM(F64:AA64),MAX(0,'Vergi'!AB51-SUM(AB53:AB63))),0)</f>
        <v/>
      </c>
      <c r="AC64" s="18">
        <f>IF(AND('Zaman'!AC9&gt;12,'Zaman'!AC9-12&lt;=5),MIN(INDEX('Vergi'!$F$50:$AR$50,MATCH(12,'Zaman'!$F$9:$AR$9,0))-SUM(F64:AB64),MAX(0,'Vergi'!AC51-SUM(AC53:AC63))),0)</f>
        <v/>
      </c>
      <c r="AD64" s="18">
        <f>IF(AND('Zaman'!AD9&gt;12,'Zaman'!AD9-12&lt;=5),MIN(INDEX('Vergi'!$F$50:$AR$50,MATCH(12,'Zaman'!$F$9:$AR$9,0))-SUM(F64:AC64),MAX(0,'Vergi'!AD51-SUM(AD53:AD63))),0)</f>
        <v/>
      </c>
      <c r="AE64" s="18">
        <f>IF(AND('Zaman'!AE9&gt;12,'Zaman'!AE9-12&lt;=5),MIN(INDEX('Vergi'!$F$50:$AR$50,MATCH(12,'Zaman'!$F$9:$AR$9,0))-SUM(F64:AD64),MAX(0,'Vergi'!AE51-SUM(AE53:AE63))),0)</f>
        <v/>
      </c>
      <c r="AF64" s="18">
        <f>IF(AND('Zaman'!AF9&gt;12,'Zaman'!AF9-12&lt;=5),MIN(INDEX('Vergi'!$F$50:$AR$50,MATCH(12,'Zaman'!$F$9:$AR$9,0))-SUM(F64:AE64),MAX(0,'Vergi'!AF51-SUM(AF53:AF63))),0)</f>
        <v/>
      </c>
      <c r="AG64" s="18">
        <f>IF(AND('Zaman'!AG9&gt;12,'Zaman'!AG9-12&lt;=5),MIN(INDEX('Vergi'!$F$50:$AR$50,MATCH(12,'Zaman'!$F$9:$AR$9,0))-SUM(F64:AF64),MAX(0,'Vergi'!AG51-SUM(AG53:AG63))),0)</f>
        <v/>
      </c>
      <c r="AH64" s="18">
        <f>IF(AND('Zaman'!AH9&gt;12,'Zaman'!AH9-12&lt;=5),MIN(INDEX('Vergi'!$F$50:$AR$50,MATCH(12,'Zaman'!$F$9:$AR$9,0))-SUM(F64:AG64),MAX(0,'Vergi'!AH51-SUM(AH53:AH63))),0)</f>
        <v/>
      </c>
      <c r="AI64" s="18">
        <f>IF(AND('Zaman'!AI9&gt;12,'Zaman'!AI9-12&lt;=5),MIN(INDEX('Vergi'!$F$50:$AR$50,MATCH(12,'Zaman'!$F$9:$AR$9,0))-SUM(F64:AH64),MAX(0,'Vergi'!AI51-SUM(AI53:AI63))),0)</f>
        <v/>
      </c>
      <c r="AJ64" s="18">
        <f>IF(AND('Zaman'!AJ9&gt;12,'Zaman'!AJ9-12&lt;=5),MIN(INDEX('Vergi'!$F$50:$AR$50,MATCH(12,'Zaman'!$F$9:$AR$9,0))-SUM(F64:AI64),MAX(0,'Vergi'!AJ51-SUM(AJ53:AJ63))),0)</f>
        <v/>
      </c>
      <c r="AK64" s="18">
        <f>IF(AND('Zaman'!AK9&gt;12,'Zaman'!AK9-12&lt;=5),MIN(INDEX('Vergi'!$F$50:$AR$50,MATCH(12,'Zaman'!$F$9:$AR$9,0))-SUM(F64:AJ64),MAX(0,'Vergi'!AK51-SUM(AK53:AK63))),0)</f>
        <v/>
      </c>
      <c r="AL64" s="18">
        <f>IF(AND('Zaman'!AL9&gt;12,'Zaman'!AL9-12&lt;=5),MIN(INDEX('Vergi'!$F$50:$AR$50,MATCH(12,'Zaman'!$F$9:$AR$9,0))-SUM(F64:AK64),MAX(0,'Vergi'!AL51-SUM(AL53:AL63))),0)</f>
        <v/>
      </c>
      <c r="AM64" s="18">
        <f>IF(AND('Zaman'!AM9&gt;12,'Zaman'!AM9-12&lt;=5),MIN(INDEX('Vergi'!$F$50:$AR$50,MATCH(12,'Zaman'!$F$9:$AR$9,0))-SUM(F64:AL64),MAX(0,'Vergi'!AM51-SUM(AM53:AM63))),0)</f>
        <v/>
      </c>
      <c r="AN64" s="18">
        <f>IF(AND('Zaman'!AN9&gt;12,'Zaman'!AN9-12&lt;=5),MIN(INDEX('Vergi'!$F$50:$AR$50,MATCH(12,'Zaman'!$F$9:$AR$9,0))-SUM(F64:AM64),MAX(0,'Vergi'!AN51-SUM(AN53:AN63))),0)</f>
        <v/>
      </c>
      <c r="AO64" s="18">
        <f>IF(AND('Zaman'!AO9&gt;12,'Zaman'!AO9-12&lt;=5),MIN(INDEX('Vergi'!$F$50:$AR$50,MATCH(12,'Zaman'!$F$9:$AR$9,0))-SUM(F64:AN64),MAX(0,'Vergi'!AO51-SUM(AO53:AO63))),0)</f>
        <v/>
      </c>
      <c r="AP64" s="18">
        <f>IF(AND('Zaman'!AP9&gt;12,'Zaman'!AP9-12&lt;=5),MIN(INDEX('Vergi'!$F$50:$AR$50,MATCH(12,'Zaman'!$F$9:$AR$9,0))-SUM(F64:AO64),MAX(0,'Vergi'!AP51-SUM(AP53:AP63))),0)</f>
        <v/>
      </c>
      <c r="AQ64" s="18">
        <f>IF(AND('Zaman'!AQ9&gt;12,'Zaman'!AQ9-12&lt;=5),MIN(INDEX('Vergi'!$F$50:$AR$50,MATCH(12,'Zaman'!$F$9:$AR$9,0))-SUM(F64:AP64),MAX(0,'Vergi'!AQ51-SUM(AQ53:AQ63))),0)</f>
        <v/>
      </c>
      <c r="AR64" s="18">
        <f>IF(AND('Zaman'!AR9&gt;12,'Zaman'!AR9-12&lt;=5),MIN(INDEX('Vergi'!$F$50:$AR$50,MATCH(12,'Zaman'!$F$9:$AR$9,0))-SUM(F64:AQ64),MAX(0,'Vergi'!AR51-SUM(AR53:AR63))),0)</f>
        <v/>
      </c>
    </row>
    <row r="65">
      <c r="A65" t="inlineStr">
        <is>
          <t>Zarar yılı 13 — kullanım</t>
        </is>
      </c>
      <c r="B65" t="inlineStr">
        <is>
          <t>USD</t>
        </is>
      </c>
      <c r="F65" s="18">
        <f>IF(AND('Zaman'!F9&gt;13,'Zaman'!F9-13&lt;=5),MIN(INDEX('Vergi'!$F$50:$AR$50,MATCH(13,'Zaman'!$F$9:$AR$9,0))-0,MAX(0,'Vergi'!F51-SUM(F53:F64))),0)</f>
        <v/>
      </c>
      <c r="G65" s="18">
        <f>IF(AND('Zaman'!G9&gt;13,'Zaman'!G9-13&lt;=5),MIN(INDEX('Vergi'!$F$50:$AR$50,MATCH(13,'Zaman'!$F$9:$AR$9,0))-SUM(F65:F65),MAX(0,'Vergi'!G51-SUM(G53:G64))),0)</f>
        <v/>
      </c>
      <c r="H65" s="18">
        <f>IF(AND('Zaman'!H9&gt;13,'Zaman'!H9-13&lt;=5),MIN(INDEX('Vergi'!$F$50:$AR$50,MATCH(13,'Zaman'!$F$9:$AR$9,0))-SUM(F65:G65),MAX(0,'Vergi'!H51-SUM(H53:H64))),0)</f>
        <v/>
      </c>
      <c r="I65" s="18">
        <f>IF(AND('Zaman'!I9&gt;13,'Zaman'!I9-13&lt;=5),MIN(INDEX('Vergi'!$F$50:$AR$50,MATCH(13,'Zaman'!$F$9:$AR$9,0))-SUM(F65:H65),MAX(0,'Vergi'!I51-SUM(I53:I64))),0)</f>
        <v/>
      </c>
      <c r="J65" s="18">
        <f>IF(AND('Zaman'!J9&gt;13,'Zaman'!J9-13&lt;=5),MIN(INDEX('Vergi'!$F$50:$AR$50,MATCH(13,'Zaman'!$F$9:$AR$9,0))-SUM(F65:I65),MAX(0,'Vergi'!J51-SUM(J53:J64))),0)</f>
        <v/>
      </c>
      <c r="K65" s="18">
        <f>IF(AND('Zaman'!K9&gt;13,'Zaman'!K9-13&lt;=5),MIN(INDEX('Vergi'!$F$50:$AR$50,MATCH(13,'Zaman'!$F$9:$AR$9,0))-SUM(F65:J65),MAX(0,'Vergi'!K51-SUM(K53:K64))),0)</f>
        <v/>
      </c>
      <c r="L65" s="18">
        <f>IF(AND('Zaman'!L9&gt;13,'Zaman'!L9-13&lt;=5),MIN(INDEX('Vergi'!$F$50:$AR$50,MATCH(13,'Zaman'!$F$9:$AR$9,0))-SUM(F65:K65),MAX(0,'Vergi'!L51-SUM(L53:L64))),0)</f>
        <v/>
      </c>
      <c r="M65" s="18">
        <f>IF(AND('Zaman'!M9&gt;13,'Zaman'!M9-13&lt;=5),MIN(INDEX('Vergi'!$F$50:$AR$50,MATCH(13,'Zaman'!$F$9:$AR$9,0))-SUM(F65:L65),MAX(0,'Vergi'!M51-SUM(M53:M64))),0)</f>
        <v/>
      </c>
      <c r="N65" s="18">
        <f>IF(AND('Zaman'!N9&gt;13,'Zaman'!N9-13&lt;=5),MIN(INDEX('Vergi'!$F$50:$AR$50,MATCH(13,'Zaman'!$F$9:$AR$9,0))-SUM(F65:M65),MAX(0,'Vergi'!N51-SUM(N53:N64))),0)</f>
        <v/>
      </c>
      <c r="O65" s="18">
        <f>IF(AND('Zaman'!O9&gt;13,'Zaman'!O9-13&lt;=5),MIN(INDEX('Vergi'!$F$50:$AR$50,MATCH(13,'Zaman'!$F$9:$AR$9,0))-SUM(F65:N65),MAX(0,'Vergi'!O51-SUM(O53:O64))),0)</f>
        <v/>
      </c>
      <c r="P65" s="18">
        <f>IF(AND('Zaman'!P9&gt;13,'Zaman'!P9-13&lt;=5),MIN(INDEX('Vergi'!$F$50:$AR$50,MATCH(13,'Zaman'!$F$9:$AR$9,0))-SUM(F65:O65),MAX(0,'Vergi'!P51-SUM(P53:P64))),0)</f>
        <v/>
      </c>
      <c r="Q65" s="18">
        <f>IF(AND('Zaman'!Q9&gt;13,'Zaman'!Q9-13&lt;=5),MIN(INDEX('Vergi'!$F$50:$AR$50,MATCH(13,'Zaman'!$F$9:$AR$9,0))-SUM(F65:P65),MAX(0,'Vergi'!Q51-SUM(Q53:Q64))),0)</f>
        <v/>
      </c>
      <c r="R65" s="18">
        <f>IF(AND('Zaman'!R9&gt;13,'Zaman'!R9-13&lt;=5),MIN(INDEX('Vergi'!$F$50:$AR$50,MATCH(13,'Zaman'!$F$9:$AR$9,0))-SUM(F65:Q65),MAX(0,'Vergi'!R51-SUM(R53:R64))),0)</f>
        <v/>
      </c>
      <c r="S65" s="18">
        <f>IF(AND('Zaman'!S9&gt;13,'Zaman'!S9-13&lt;=5),MIN(INDEX('Vergi'!$F$50:$AR$50,MATCH(13,'Zaman'!$F$9:$AR$9,0))-SUM(F65:R65),MAX(0,'Vergi'!S51-SUM(S53:S64))),0)</f>
        <v/>
      </c>
      <c r="T65" s="18">
        <f>IF(AND('Zaman'!T9&gt;13,'Zaman'!T9-13&lt;=5),MIN(INDEX('Vergi'!$F$50:$AR$50,MATCH(13,'Zaman'!$F$9:$AR$9,0))-SUM(F65:S65),MAX(0,'Vergi'!T51-SUM(T53:T64))),0)</f>
        <v/>
      </c>
      <c r="U65" s="18">
        <f>IF(AND('Zaman'!U9&gt;13,'Zaman'!U9-13&lt;=5),MIN(INDEX('Vergi'!$F$50:$AR$50,MATCH(13,'Zaman'!$F$9:$AR$9,0))-SUM(F65:T65),MAX(0,'Vergi'!U51-SUM(U53:U64))),0)</f>
        <v/>
      </c>
      <c r="V65" s="18">
        <f>IF(AND('Zaman'!V9&gt;13,'Zaman'!V9-13&lt;=5),MIN(INDEX('Vergi'!$F$50:$AR$50,MATCH(13,'Zaman'!$F$9:$AR$9,0))-SUM(F65:U65),MAX(0,'Vergi'!V51-SUM(V53:V64))),0)</f>
        <v/>
      </c>
      <c r="W65" s="18">
        <f>IF(AND('Zaman'!W9&gt;13,'Zaman'!W9-13&lt;=5),MIN(INDEX('Vergi'!$F$50:$AR$50,MATCH(13,'Zaman'!$F$9:$AR$9,0))-SUM(F65:V65),MAX(0,'Vergi'!W51-SUM(W53:W64))),0)</f>
        <v/>
      </c>
      <c r="X65" s="18">
        <f>IF(AND('Zaman'!X9&gt;13,'Zaman'!X9-13&lt;=5),MIN(INDEX('Vergi'!$F$50:$AR$50,MATCH(13,'Zaman'!$F$9:$AR$9,0))-SUM(F65:W65),MAX(0,'Vergi'!X51-SUM(X53:X64))),0)</f>
        <v/>
      </c>
      <c r="Y65" s="18">
        <f>IF(AND('Zaman'!Y9&gt;13,'Zaman'!Y9-13&lt;=5),MIN(INDEX('Vergi'!$F$50:$AR$50,MATCH(13,'Zaman'!$F$9:$AR$9,0))-SUM(F65:X65),MAX(0,'Vergi'!Y51-SUM(Y53:Y64))),0)</f>
        <v/>
      </c>
      <c r="Z65" s="18">
        <f>IF(AND('Zaman'!Z9&gt;13,'Zaman'!Z9-13&lt;=5),MIN(INDEX('Vergi'!$F$50:$AR$50,MATCH(13,'Zaman'!$F$9:$AR$9,0))-SUM(F65:Y65),MAX(0,'Vergi'!Z51-SUM(Z53:Z64))),0)</f>
        <v/>
      </c>
      <c r="AA65" s="18">
        <f>IF(AND('Zaman'!AA9&gt;13,'Zaman'!AA9-13&lt;=5),MIN(INDEX('Vergi'!$F$50:$AR$50,MATCH(13,'Zaman'!$F$9:$AR$9,0))-SUM(F65:Z65),MAX(0,'Vergi'!AA51-SUM(AA53:AA64))),0)</f>
        <v/>
      </c>
      <c r="AB65" s="18">
        <f>IF(AND('Zaman'!AB9&gt;13,'Zaman'!AB9-13&lt;=5),MIN(INDEX('Vergi'!$F$50:$AR$50,MATCH(13,'Zaman'!$F$9:$AR$9,0))-SUM(F65:AA65),MAX(0,'Vergi'!AB51-SUM(AB53:AB64))),0)</f>
        <v/>
      </c>
      <c r="AC65" s="18">
        <f>IF(AND('Zaman'!AC9&gt;13,'Zaman'!AC9-13&lt;=5),MIN(INDEX('Vergi'!$F$50:$AR$50,MATCH(13,'Zaman'!$F$9:$AR$9,0))-SUM(F65:AB65),MAX(0,'Vergi'!AC51-SUM(AC53:AC64))),0)</f>
        <v/>
      </c>
      <c r="AD65" s="18">
        <f>IF(AND('Zaman'!AD9&gt;13,'Zaman'!AD9-13&lt;=5),MIN(INDEX('Vergi'!$F$50:$AR$50,MATCH(13,'Zaman'!$F$9:$AR$9,0))-SUM(F65:AC65),MAX(0,'Vergi'!AD51-SUM(AD53:AD64))),0)</f>
        <v/>
      </c>
      <c r="AE65" s="18">
        <f>IF(AND('Zaman'!AE9&gt;13,'Zaman'!AE9-13&lt;=5),MIN(INDEX('Vergi'!$F$50:$AR$50,MATCH(13,'Zaman'!$F$9:$AR$9,0))-SUM(F65:AD65),MAX(0,'Vergi'!AE51-SUM(AE53:AE64))),0)</f>
        <v/>
      </c>
      <c r="AF65" s="18">
        <f>IF(AND('Zaman'!AF9&gt;13,'Zaman'!AF9-13&lt;=5),MIN(INDEX('Vergi'!$F$50:$AR$50,MATCH(13,'Zaman'!$F$9:$AR$9,0))-SUM(F65:AE65),MAX(0,'Vergi'!AF51-SUM(AF53:AF64))),0)</f>
        <v/>
      </c>
      <c r="AG65" s="18">
        <f>IF(AND('Zaman'!AG9&gt;13,'Zaman'!AG9-13&lt;=5),MIN(INDEX('Vergi'!$F$50:$AR$50,MATCH(13,'Zaman'!$F$9:$AR$9,0))-SUM(F65:AF65),MAX(0,'Vergi'!AG51-SUM(AG53:AG64))),0)</f>
        <v/>
      </c>
      <c r="AH65" s="18">
        <f>IF(AND('Zaman'!AH9&gt;13,'Zaman'!AH9-13&lt;=5),MIN(INDEX('Vergi'!$F$50:$AR$50,MATCH(13,'Zaman'!$F$9:$AR$9,0))-SUM(F65:AG65),MAX(0,'Vergi'!AH51-SUM(AH53:AH64))),0)</f>
        <v/>
      </c>
      <c r="AI65" s="18">
        <f>IF(AND('Zaman'!AI9&gt;13,'Zaman'!AI9-13&lt;=5),MIN(INDEX('Vergi'!$F$50:$AR$50,MATCH(13,'Zaman'!$F$9:$AR$9,0))-SUM(F65:AH65),MAX(0,'Vergi'!AI51-SUM(AI53:AI64))),0)</f>
        <v/>
      </c>
      <c r="AJ65" s="18">
        <f>IF(AND('Zaman'!AJ9&gt;13,'Zaman'!AJ9-13&lt;=5),MIN(INDEX('Vergi'!$F$50:$AR$50,MATCH(13,'Zaman'!$F$9:$AR$9,0))-SUM(F65:AI65),MAX(0,'Vergi'!AJ51-SUM(AJ53:AJ64))),0)</f>
        <v/>
      </c>
      <c r="AK65" s="18">
        <f>IF(AND('Zaman'!AK9&gt;13,'Zaman'!AK9-13&lt;=5),MIN(INDEX('Vergi'!$F$50:$AR$50,MATCH(13,'Zaman'!$F$9:$AR$9,0))-SUM(F65:AJ65),MAX(0,'Vergi'!AK51-SUM(AK53:AK64))),0)</f>
        <v/>
      </c>
      <c r="AL65" s="18">
        <f>IF(AND('Zaman'!AL9&gt;13,'Zaman'!AL9-13&lt;=5),MIN(INDEX('Vergi'!$F$50:$AR$50,MATCH(13,'Zaman'!$F$9:$AR$9,0))-SUM(F65:AK65),MAX(0,'Vergi'!AL51-SUM(AL53:AL64))),0)</f>
        <v/>
      </c>
      <c r="AM65" s="18">
        <f>IF(AND('Zaman'!AM9&gt;13,'Zaman'!AM9-13&lt;=5),MIN(INDEX('Vergi'!$F$50:$AR$50,MATCH(13,'Zaman'!$F$9:$AR$9,0))-SUM(F65:AL65),MAX(0,'Vergi'!AM51-SUM(AM53:AM64))),0)</f>
        <v/>
      </c>
      <c r="AN65" s="18">
        <f>IF(AND('Zaman'!AN9&gt;13,'Zaman'!AN9-13&lt;=5),MIN(INDEX('Vergi'!$F$50:$AR$50,MATCH(13,'Zaman'!$F$9:$AR$9,0))-SUM(F65:AM65),MAX(0,'Vergi'!AN51-SUM(AN53:AN64))),0)</f>
        <v/>
      </c>
      <c r="AO65" s="18">
        <f>IF(AND('Zaman'!AO9&gt;13,'Zaman'!AO9-13&lt;=5),MIN(INDEX('Vergi'!$F$50:$AR$50,MATCH(13,'Zaman'!$F$9:$AR$9,0))-SUM(F65:AN65),MAX(0,'Vergi'!AO51-SUM(AO53:AO64))),0)</f>
        <v/>
      </c>
      <c r="AP65" s="18">
        <f>IF(AND('Zaman'!AP9&gt;13,'Zaman'!AP9-13&lt;=5),MIN(INDEX('Vergi'!$F$50:$AR$50,MATCH(13,'Zaman'!$F$9:$AR$9,0))-SUM(F65:AO65),MAX(0,'Vergi'!AP51-SUM(AP53:AP64))),0)</f>
        <v/>
      </c>
      <c r="AQ65" s="18">
        <f>IF(AND('Zaman'!AQ9&gt;13,'Zaman'!AQ9-13&lt;=5),MIN(INDEX('Vergi'!$F$50:$AR$50,MATCH(13,'Zaman'!$F$9:$AR$9,0))-SUM(F65:AP65),MAX(0,'Vergi'!AQ51-SUM(AQ53:AQ64))),0)</f>
        <v/>
      </c>
      <c r="AR65" s="18">
        <f>IF(AND('Zaman'!AR9&gt;13,'Zaman'!AR9-13&lt;=5),MIN(INDEX('Vergi'!$F$50:$AR$50,MATCH(13,'Zaman'!$F$9:$AR$9,0))-SUM(F65:AQ65),MAX(0,'Vergi'!AR51-SUM(AR53:AR64))),0)</f>
        <v/>
      </c>
    </row>
    <row r="66">
      <c r="A66" t="inlineStr">
        <is>
          <t>Zarar yılı 14 — kullanım</t>
        </is>
      </c>
      <c r="B66" t="inlineStr">
        <is>
          <t>USD</t>
        </is>
      </c>
      <c r="F66" s="18">
        <f>IF(AND('Zaman'!F9&gt;14,'Zaman'!F9-14&lt;=5),MIN(INDEX('Vergi'!$F$50:$AR$50,MATCH(14,'Zaman'!$F$9:$AR$9,0))-0,MAX(0,'Vergi'!F51-SUM(F53:F65))),0)</f>
        <v/>
      </c>
      <c r="G66" s="18">
        <f>IF(AND('Zaman'!G9&gt;14,'Zaman'!G9-14&lt;=5),MIN(INDEX('Vergi'!$F$50:$AR$50,MATCH(14,'Zaman'!$F$9:$AR$9,0))-SUM(F66:F66),MAX(0,'Vergi'!G51-SUM(G53:G65))),0)</f>
        <v/>
      </c>
      <c r="H66" s="18">
        <f>IF(AND('Zaman'!H9&gt;14,'Zaman'!H9-14&lt;=5),MIN(INDEX('Vergi'!$F$50:$AR$50,MATCH(14,'Zaman'!$F$9:$AR$9,0))-SUM(F66:G66),MAX(0,'Vergi'!H51-SUM(H53:H65))),0)</f>
        <v/>
      </c>
      <c r="I66" s="18">
        <f>IF(AND('Zaman'!I9&gt;14,'Zaman'!I9-14&lt;=5),MIN(INDEX('Vergi'!$F$50:$AR$50,MATCH(14,'Zaman'!$F$9:$AR$9,0))-SUM(F66:H66),MAX(0,'Vergi'!I51-SUM(I53:I65))),0)</f>
        <v/>
      </c>
      <c r="J66" s="18">
        <f>IF(AND('Zaman'!J9&gt;14,'Zaman'!J9-14&lt;=5),MIN(INDEX('Vergi'!$F$50:$AR$50,MATCH(14,'Zaman'!$F$9:$AR$9,0))-SUM(F66:I66),MAX(0,'Vergi'!J51-SUM(J53:J65))),0)</f>
        <v/>
      </c>
      <c r="K66" s="18">
        <f>IF(AND('Zaman'!K9&gt;14,'Zaman'!K9-14&lt;=5),MIN(INDEX('Vergi'!$F$50:$AR$50,MATCH(14,'Zaman'!$F$9:$AR$9,0))-SUM(F66:J66),MAX(0,'Vergi'!K51-SUM(K53:K65))),0)</f>
        <v/>
      </c>
      <c r="L66" s="18">
        <f>IF(AND('Zaman'!L9&gt;14,'Zaman'!L9-14&lt;=5),MIN(INDEX('Vergi'!$F$50:$AR$50,MATCH(14,'Zaman'!$F$9:$AR$9,0))-SUM(F66:K66),MAX(0,'Vergi'!L51-SUM(L53:L65))),0)</f>
        <v/>
      </c>
      <c r="M66" s="18">
        <f>IF(AND('Zaman'!M9&gt;14,'Zaman'!M9-14&lt;=5),MIN(INDEX('Vergi'!$F$50:$AR$50,MATCH(14,'Zaman'!$F$9:$AR$9,0))-SUM(F66:L66),MAX(0,'Vergi'!M51-SUM(M53:M65))),0)</f>
        <v/>
      </c>
      <c r="N66" s="18">
        <f>IF(AND('Zaman'!N9&gt;14,'Zaman'!N9-14&lt;=5),MIN(INDEX('Vergi'!$F$50:$AR$50,MATCH(14,'Zaman'!$F$9:$AR$9,0))-SUM(F66:M66),MAX(0,'Vergi'!N51-SUM(N53:N65))),0)</f>
        <v/>
      </c>
      <c r="O66" s="18">
        <f>IF(AND('Zaman'!O9&gt;14,'Zaman'!O9-14&lt;=5),MIN(INDEX('Vergi'!$F$50:$AR$50,MATCH(14,'Zaman'!$F$9:$AR$9,0))-SUM(F66:N66),MAX(0,'Vergi'!O51-SUM(O53:O65))),0)</f>
        <v/>
      </c>
      <c r="P66" s="18">
        <f>IF(AND('Zaman'!P9&gt;14,'Zaman'!P9-14&lt;=5),MIN(INDEX('Vergi'!$F$50:$AR$50,MATCH(14,'Zaman'!$F$9:$AR$9,0))-SUM(F66:O66),MAX(0,'Vergi'!P51-SUM(P53:P65))),0)</f>
        <v/>
      </c>
      <c r="Q66" s="18">
        <f>IF(AND('Zaman'!Q9&gt;14,'Zaman'!Q9-14&lt;=5),MIN(INDEX('Vergi'!$F$50:$AR$50,MATCH(14,'Zaman'!$F$9:$AR$9,0))-SUM(F66:P66),MAX(0,'Vergi'!Q51-SUM(Q53:Q65))),0)</f>
        <v/>
      </c>
      <c r="R66" s="18">
        <f>IF(AND('Zaman'!R9&gt;14,'Zaman'!R9-14&lt;=5),MIN(INDEX('Vergi'!$F$50:$AR$50,MATCH(14,'Zaman'!$F$9:$AR$9,0))-SUM(F66:Q66),MAX(0,'Vergi'!R51-SUM(R53:R65))),0)</f>
        <v/>
      </c>
      <c r="S66" s="18">
        <f>IF(AND('Zaman'!S9&gt;14,'Zaman'!S9-14&lt;=5),MIN(INDEX('Vergi'!$F$50:$AR$50,MATCH(14,'Zaman'!$F$9:$AR$9,0))-SUM(F66:R66),MAX(0,'Vergi'!S51-SUM(S53:S65))),0)</f>
        <v/>
      </c>
      <c r="T66" s="18">
        <f>IF(AND('Zaman'!T9&gt;14,'Zaman'!T9-14&lt;=5),MIN(INDEX('Vergi'!$F$50:$AR$50,MATCH(14,'Zaman'!$F$9:$AR$9,0))-SUM(F66:S66),MAX(0,'Vergi'!T51-SUM(T53:T65))),0)</f>
        <v/>
      </c>
      <c r="U66" s="18">
        <f>IF(AND('Zaman'!U9&gt;14,'Zaman'!U9-14&lt;=5),MIN(INDEX('Vergi'!$F$50:$AR$50,MATCH(14,'Zaman'!$F$9:$AR$9,0))-SUM(F66:T66),MAX(0,'Vergi'!U51-SUM(U53:U65))),0)</f>
        <v/>
      </c>
      <c r="V66" s="18">
        <f>IF(AND('Zaman'!V9&gt;14,'Zaman'!V9-14&lt;=5),MIN(INDEX('Vergi'!$F$50:$AR$50,MATCH(14,'Zaman'!$F$9:$AR$9,0))-SUM(F66:U66),MAX(0,'Vergi'!V51-SUM(V53:V65))),0)</f>
        <v/>
      </c>
      <c r="W66" s="18">
        <f>IF(AND('Zaman'!W9&gt;14,'Zaman'!W9-14&lt;=5),MIN(INDEX('Vergi'!$F$50:$AR$50,MATCH(14,'Zaman'!$F$9:$AR$9,0))-SUM(F66:V66),MAX(0,'Vergi'!W51-SUM(W53:W65))),0)</f>
        <v/>
      </c>
      <c r="X66" s="18">
        <f>IF(AND('Zaman'!X9&gt;14,'Zaman'!X9-14&lt;=5),MIN(INDEX('Vergi'!$F$50:$AR$50,MATCH(14,'Zaman'!$F$9:$AR$9,0))-SUM(F66:W66),MAX(0,'Vergi'!X51-SUM(X53:X65))),0)</f>
        <v/>
      </c>
      <c r="Y66" s="18">
        <f>IF(AND('Zaman'!Y9&gt;14,'Zaman'!Y9-14&lt;=5),MIN(INDEX('Vergi'!$F$50:$AR$50,MATCH(14,'Zaman'!$F$9:$AR$9,0))-SUM(F66:X66),MAX(0,'Vergi'!Y51-SUM(Y53:Y65))),0)</f>
        <v/>
      </c>
      <c r="Z66" s="18">
        <f>IF(AND('Zaman'!Z9&gt;14,'Zaman'!Z9-14&lt;=5),MIN(INDEX('Vergi'!$F$50:$AR$50,MATCH(14,'Zaman'!$F$9:$AR$9,0))-SUM(F66:Y66),MAX(0,'Vergi'!Z51-SUM(Z53:Z65))),0)</f>
        <v/>
      </c>
      <c r="AA66" s="18">
        <f>IF(AND('Zaman'!AA9&gt;14,'Zaman'!AA9-14&lt;=5),MIN(INDEX('Vergi'!$F$50:$AR$50,MATCH(14,'Zaman'!$F$9:$AR$9,0))-SUM(F66:Z66),MAX(0,'Vergi'!AA51-SUM(AA53:AA65))),0)</f>
        <v/>
      </c>
      <c r="AB66" s="18">
        <f>IF(AND('Zaman'!AB9&gt;14,'Zaman'!AB9-14&lt;=5),MIN(INDEX('Vergi'!$F$50:$AR$50,MATCH(14,'Zaman'!$F$9:$AR$9,0))-SUM(F66:AA66),MAX(0,'Vergi'!AB51-SUM(AB53:AB65))),0)</f>
        <v/>
      </c>
      <c r="AC66" s="18">
        <f>IF(AND('Zaman'!AC9&gt;14,'Zaman'!AC9-14&lt;=5),MIN(INDEX('Vergi'!$F$50:$AR$50,MATCH(14,'Zaman'!$F$9:$AR$9,0))-SUM(F66:AB66),MAX(0,'Vergi'!AC51-SUM(AC53:AC65))),0)</f>
        <v/>
      </c>
      <c r="AD66" s="18">
        <f>IF(AND('Zaman'!AD9&gt;14,'Zaman'!AD9-14&lt;=5),MIN(INDEX('Vergi'!$F$50:$AR$50,MATCH(14,'Zaman'!$F$9:$AR$9,0))-SUM(F66:AC66),MAX(0,'Vergi'!AD51-SUM(AD53:AD65))),0)</f>
        <v/>
      </c>
      <c r="AE66" s="18">
        <f>IF(AND('Zaman'!AE9&gt;14,'Zaman'!AE9-14&lt;=5),MIN(INDEX('Vergi'!$F$50:$AR$50,MATCH(14,'Zaman'!$F$9:$AR$9,0))-SUM(F66:AD66),MAX(0,'Vergi'!AE51-SUM(AE53:AE65))),0)</f>
        <v/>
      </c>
      <c r="AF66" s="18">
        <f>IF(AND('Zaman'!AF9&gt;14,'Zaman'!AF9-14&lt;=5),MIN(INDEX('Vergi'!$F$50:$AR$50,MATCH(14,'Zaman'!$F$9:$AR$9,0))-SUM(F66:AE66),MAX(0,'Vergi'!AF51-SUM(AF53:AF65))),0)</f>
        <v/>
      </c>
      <c r="AG66" s="18">
        <f>IF(AND('Zaman'!AG9&gt;14,'Zaman'!AG9-14&lt;=5),MIN(INDEX('Vergi'!$F$50:$AR$50,MATCH(14,'Zaman'!$F$9:$AR$9,0))-SUM(F66:AF66),MAX(0,'Vergi'!AG51-SUM(AG53:AG65))),0)</f>
        <v/>
      </c>
      <c r="AH66" s="18">
        <f>IF(AND('Zaman'!AH9&gt;14,'Zaman'!AH9-14&lt;=5),MIN(INDEX('Vergi'!$F$50:$AR$50,MATCH(14,'Zaman'!$F$9:$AR$9,0))-SUM(F66:AG66),MAX(0,'Vergi'!AH51-SUM(AH53:AH65))),0)</f>
        <v/>
      </c>
      <c r="AI66" s="18">
        <f>IF(AND('Zaman'!AI9&gt;14,'Zaman'!AI9-14&lt;=5),MIN(INDEX('Vergi'!$F$50:$AR$50,MATCH(14,'Zaman'!$F$9:$AR$9,0))-SUM(F66:AH66),MAX(0,'Vergi'!AI51-SUM(AI53:AI65))),0)</f>
        <v/>
      </c>
      <c r="AJ66" s="18">
        <f>IF(AND('Zaman'!AJ9&gt;14,'Zaman'!AJ9-14&lt;=5),MIN(INDEX('Vergi'!$F$50:$AR$50,MATCH(14,'Zaman'!$F$9:$AR$9,0))-SUM(F66:AI66),MAX(0,'Vergi'!AJ51-SUM(AJ53:AJ65))),0)</f>
        <v/>
      </c>
      <c r="AK66" s="18">
        <f>IF(AND('Zaman'!AK9&gt;14,'Zaman'!AK9-14&lt;=5),MIN(INDEX('Vergi'!$F$50:$AR$50,MATCH(14,'Zaman'!$F$9:$AR$9,0))-SUM(F66:AJ66),MAX(0,'Vergi'!AK51-SUM(AK53:AK65))),0)</f>
        <v/>
      </c>
      <c r="AL66" s="18">
        <f>IF(AND('Zaman'!AL9&gt;14,'Zaman'!AL9-14&lt;=5),MIN(INDEX('Vergi'!$F$50:$AR$50,MATCH(14,'Zaman'!$F$9:$AR$9,0))-SUM(F66:AK66),MAX(0,'Vergi'!AL51-SUM(AL53:AL65))),0)</f>
        <v/>
      </c>
      <c r="AM66" s="18">
        <f>IF(AND('Zaman'!AM9&gt;14,'Zaman'!AM9-14&lt;=5),MIN(INDEX('Vergi'!$F$50:$AR$50,MATCH(14,'Zaman'!$F$9:$AR$9,0))-SUM(F66:AL66),MAX(0,'Vergi'!AM51-SUM(AM53:AM65))),0)</f>
        <v/>
      </c>
      <c r="AN66" s="18">
        <f>IF(AND('Zaman'!AN9&gt;14,'Zaman'!AN9-14&lt;=5),MIN(INDEX('Vergi'!$F$50:$AR$50,MATCH(14,'Zaman'!$F$9:$AR$9,0))-SUM(F66:AM66),MAX(0,'Vergi'!AN51-SUM(AN53:AN65))),0)</f>
        <v/>
      </c>
      <c r="AO66" s="18">
        <f>IF(AND('Zaman'!AO9&gt;14,'Zaman'!AO9-14&lt;=5),MIN(INDEX('Vergi'!$F$50:$AR$50,MATCH(14,'Zaman'!$F$9:$AR$9,0))-SUM(F66:AN66),MAX(0,'Vergi'!AO51-SUM(AO53:AO65))),0)</f>
        <v/>
      </c>
      <c r="AP66" s="18">
        <f>IF(AND('Zaman'!AP9&gt;14,'Zaman'!AP9-14&lt;=5),MIN(INDEX('Vergi'!$F$50:$AR$50,MATCH(14,'Zaman'!$F$9:$AR$9,0))-SUM(F66:AO66),MAX(0,'Vergi'!AP51-SUM(AP53:AP65))),0)</f>
        <v/>
      </c>
      <c r="AQ66" s="18">
        <f>IF(AND('Zaman'!AQ9&gt;14,'Zaman'!AQ9-14&lt;=5),MIN(INDEX('Vergi'!$F$50:$AR$50,MATCH(14,'Zaman'!$F$9:$AR$9,0))-SUM(F66:AP66),MAX(0,'Vergi'!AQ51-SUM(AQ53:AQ65))),0)</f>
        <v/>
      </c>
      <c r="AR66" s="18">
        <f>IF(AND('Zaman'!AR9&gt;14,'Zaman'!AR9-14&lt;=5),MIN(INDEX('Vergi'!$F$50:$AR$50,MATCH(14,'Zaman'!$F$9:$AR$9,0))-SUM(F66:AQ66),MAX(0,'Vergi'!AR51-SUM(AR53:AR65))),0)</f>
        <v/>
      </c>
    </row>
    <row r="67">
      <c r="A67" t="inlineStr">
        <is>
          <t>Zarar yılı 15 — kullanım</t>
        </is>
      </c>
      <c r="B67" t="inlineStr">
        <is>
          <t>USD</t>
        </is>
      </c>
      <c r="F67" s="18">
        <f>IF(AND('Zaman'!F9&gt;15,'Zaman'!F9-15&lt;=5),MIN(INDEX('Vergi'!$F$50:$AR$50,MATCH(15,'Zaman'!$F$9:$AR$9,0))-0,MAX(0,'Vergi'!F51-SUM(F53:F66))),0)</f>
        <v/>
      </c>
      <c r="G67" s="18">
        <f>IF(AND('Zaman'!G9&gt;15,'Zaman'!G9-15&lt;=5),MIN(INDEX('Vergi'!$F$50:$AR$50,MATCH(15,'Zaman'!$F$9:$AR$9,0))-SUM(F67:F67),MAX(0,'Vergi'!G51-SUM(G53:G66))),0)</f>
        <v/>
      </c>
      <c r="H67" s="18">
        <f>IF(AND('Zaman'!H9&gt;15,'Zaman'!H9-15&lt;=5),MIN(INDEX('Vergi'!$F$50:$AR$50,MATCH(15,'Zaman'!$F$9:$AR$9,0))-SUM(F67:G67),MAX(0,'Vergi'!H51-SUM(H53:H66))),0)</f>
        <v/>
      </c>
      <c r="I67" s="18">
        <f>IF(AND('Zaman'!I9&gt;15,'Zaman'!I9-15&lt;=5),MIN(INDEX('Vergi'!$F$50:$AR$50,MATCH(15,'Zaman'!$F$9:$AR$9,0))-SUM(F67:H67),MAX(0,'Vergi'!I51-SUM(I53:I66))),0)</f>
        <v/>
      </c>
      <c r="J67" s="18">
        <f>IF(AND('Zaman'!J9&gt;15,'Zaman'!J9-15&lt;=5),MIN(INDEX('Vergi'!$F$50:$AR$50,MATCH(15,'Zaman'!$F$9:$AR$9,0))-SUM(F67:I67),MAX(0,'Vergi'!J51-SUM(J53:J66))),0)</f>
        <v/>
      </c>
      <c r="K67" s="18">
        <f>IF(AND('Zaman'!K9&gt;15,'Zaman'!K9-15&lt;=5),MIN(INDEX('Vergi'!$F$50:$AR$50,MATCH(15,'Zaman'!$F$9:$AR$9,0))-SUM(F67:J67),MAX(0,'Vergi'!K51-SUM(K53:K66))),0)</f>
        <v/>
      </c>
      <c r="L67" s="18">
        <f>IF(AND('Zaman'!L9&gt;15,'Zaman'!L9-15&lt;=5),MIN(INDEX('Vergi'!$F$50:$AR$50,MATCH(15,'Zaman'!$F$9:$AR$9,0))-SUM(F67:K67),MAX(0,'Vergi'!L51-SUM(L53:L66))),0)</f>
        <v/>
      </c>
      <c r="M67" s="18">
        <f>IF(AND('Zaman'!M9&gt;15,'Zaman'!M9-15&lt;=5),MIN(INDEX('Vergi'!$F$50:$AR$50,MATCH(15,'Zaman'!$F$9:$AR$9,0))-SUM(F67:L67),MAX(0,'Vergi'!M51-SUM(M53:M66))),0)</f>
        <v/>
      </c>
      <c r="N67" s="18">
        <f>IF(AND('Zaman'!N9&gt;15,'Zaman'!N9-15&lt;=5),MIN(INDEX('Vergi'!$F$50:$AR$50,MATCH(15,'Zaman'!$F$9:$AR$9,0))-SUM(F67:M67),MAX(0,'Vergi'!N51-SUM(N53:N66))),0)</f>
        <v/>
      </c>
      <c r="O67" s="18">
        <f>IF(AND('Zaman'!O9&gt;15,'Zaman'!O9-15&lt;=5),MIN(INDEX('Vergi'!$F$50:$AR$50,MATCH(15,'Zaman'!$F$9:$AR$9,0))-SUM(F67:N67),MAX(0,'Vergi'!O51-SUM(O53:O66))),0)</f>
        <v/>
      </c>
      <c r="P67" s="18">
        <f>IF(AND('Zaman'!P9&gt;15,'Zaman'!P9-15&lt;=5),MIN(INDEX('Vergi'!$F$50:$AR$50,MATCH(15,'Zaman'!$F$9:$AR$9,0))-SUM(F67:O67),MAX(0,'Vergi'!P51-SUM(P53:P66))),0)</f>
        <v/>
      </c>
      <c r="Q67" s="18">
        <f>IF(AND('Zaman'!Q9&gt;15,'Zaman'!Q9-15&lt;=5),MIN(INDEX('Vergi'!$F$50:$AR$50,MATCH(15,'Zaman'!$F$9:$AR$9,0))-SUM(F67:P67),MAX(0,'Vergi'!Q51-SUM(Q53:Q66))),0)</f>
        <v/>
      </c>
      <c r="R67" s="18">
        <f>IF(AND('Zaman'!R9&gt;15,'Zaman'!R9-15&lt;=5),MIN(INDEX('Vergi'!$F$50:$AR$50,MATCH(15,'Zaman'!$F$9:$AR$9,0))-SUM(F67:Q67),MAX(0,'Vergi'!R51-SUM(R53:R66))),0)</f>
        <v/>
      </c>
      <c r="S67" s="18">
        <f>IF(AND('Zaman'!S9&gt;15,'Zaman'!S9-15&lt;=5),MIN(INDEX('Vergi'!$F$50:$AR$50,MATCH(15,'Zaman'!$F$9:$AR$9,0))-SUM(F67:R67),MAX(0,'Vergi'!S51-SUM(S53:S66))),0)</f>
        <v/>
      </c>
      <c r="T67" s="18">
        <f>IF(AND('Zaman'!T9&gt;15,'Zaman'!T9-15&lt;=5),MIN(INDEX('Vergi'!$F$50:$AR$50,MATCH(15,'Zaman'!$F$9:$AR$9,0))-SUM(F67:S67),MAX(0,'Vergi'!T51-SUM(T53:T66))),0)</f>
        <v/>
      </c>
      <c r="U67" s="18">
        <f>IF(AND('Zaman'!U9&gt;15,'Zaman'!U9-15&lt;=5),MIN(INDEX('Vergi'!$F$50:$AR$50,MATCH(15,'Zaman'!$F$9:$AR$9,0))-SUM(F67:T67),MAX(0,'Vergi'!U51-SUM(U53:U66))),0)</f>
        <v/>
      </c>
      <c r="V67" s="18">
        <f>IF(AND('Zaman'!V9&gt;15,'Zaman'!V9-15&lt;=5),MIN(INDEX('Vergi'!$F$50:$AR$50,MATCH(15,'Zaman'!$F$9:$AR$9,0))-SUM(F67:U67),MAX(0,'Vergi'!V51-SUM(V53:V66))),0)</f>
        <v/>
      </c>
      <c r="W67" s="18">
        <f>IF(AND('Zaman'!W9&gt;15,'Zaman'!W9-15&lt;=5),MIN(INDEX('Vergi'!$F$50:$AR$50,MATCH(15,'Zaman'!$F$9:$AR$9,0))-SUM(F67:V67),MAX(0,'Vergi'!W51-SUM(W53:W66))),0)</f>
        <v/>
      </c>
      <c r="X67" s="18">
        <f>IF(AND('Zaman'!X9&gt;15,'Zaman'!X9-15&lt;=5),MIN(INDEX('Vergi'!$F$50:$AR$50,MATCH(15,'Zaman'!$F$9:$AR$9,0))-SUM(F67:W67),MAX(0,'Vergi'!X51-SUM(X53:X66))),0)</f>
        <v/>
      </c>
      <c r="Y67" s="18">
        <f>IF(AND('Zaman'!Y9&gt;15,'Zaman'!Y9-15&lt;=5),MIN(INDEX('Vergi'!$F$50:$AR$50,MATCH(15,'Zaman'!$F$9:$AR$9,0))-SUM(F67:X67),MAX(0,'Vergi'!Y51-SUM(Y53:Y66))),0)</f>
        <v/>
      </c>
      <c r="Z67" s="18">
        <f>IF(AND('Zaman'!Z9&gt;15,'Zaman'!Z9-15&lt;=5),MIN(INDEX('Vergi'!$F$50:$AR$50,MATCH(15,'Zaman'!$F$9:$AR$9,0))-SUM(F67:Y67),MAX(0,'Vergi'!Z51-SUM(Z53:Z66))),0)</f>
        <v/>
      </c>
      <c r="AA67" s="18">
        <f>IF(AND('Zaman'!AA9&gt;15,'Zaman'!AA9-15&lt;=5),MIN(INDEX('Vergi'!$F$50:$AR$50,MATCH(15,'Zaman'!$F$9:$AR$9,0))-SUM(F67:Z67),MAX(0,'Vergi'!AA51-SUM(AA53:AA66))),0)</f>
        <v/>
      </c>
      <c r="AB67" s="18">
        <f>IF(AND('Zaman'!AB9&gt;15,'Zaman'!AB9-15&lt;=5),MIN(INDEX('Vergi'!$F$50:$AR$50,MATCH(15,'Zaman'!$F$9:$AR$9,0))-SUM(F67:AA67),MAX(0,'Vergi'!AB51-SUM(AB53:AB66))),0)</f>
        <v/>
      </c>
      <c r="AC67" s="18">
        <f>IF(AND('Zaman'!AC9&gt;15,'Zaman'!AC9-15&lt;=5),MIN(INDEX('Vergi'!$F$50:$AR$50,MATCH(15,'Zaman'!$F$9:$AR$9,0))-SUM(F67:AB67),MAX(0,'Vergi'!AC51-SUM(AC53:AC66))),0)</f>
        <v/>
      </c>
      <c r="AD67" s="18">
        <f>IF(AND('Zaman'!AD9&gt;15,'Zaman'!AD9-15&lt;=5),MIN(INDEX('Vergi'!$F$50:$AR$50,MATCH(15,'Zaman'!$F$9:$AR$9,0))-SUM(F67:AC67),MAX(0,'Vergi'!AD51-SUM(AD53:AD66))),0)</f>
        <v/>
      </c>
      <c r="AE67" s="18">
        <f>IF(AND('Zaman'!AE9&gt;15,'Zaman'!AE9-15&lt;=5),MIN(INDEX('Vergi'!$F$50:$AR$50,MATCH(15,'Zaman'!$F$9:$AR$9,0))-SUM(F67:AD67),MAX(0,'Vergi'!AE51-SUM(AE53:AE66))),0)</f>
        <v/>
      </c>
      <c r="AF67" s="18">
        <f>IF(AND('Zaman'!AF9&gt;15,'Zaman'!AF9-15&lt;=5),MIN(INDEX('Vergi'!$F$50:$AR$50,MATCH(15,'Zaman'!$F$9:$AR$9,0))-SUM(F67:AE67),MAX(0,'Vergi'!AF51-SUM(AF53:AF66))),0)</f>
        <v/>
      </c>
      <c r="AG67" s="18">
        <f>IF(AND('Zaman'!AG9&gt;15,'Zaman'!AG9-15&lt;=5),MIN(INDEX('Vergi'!$F$50:$AR$50,MATCH(15,'Zaman'!$F$9:$AR$9,0))-SUM(F67:AF67),MAX(0,'Vergi'!AG51-SUM(AG53:AG66))),0)</f>
        <v/>
      </c>
      <c r="AH67" s="18">
        <f>IF(AND('Zaman'!AH9&gt;15,'Zaman'!AH9-15&lt;=5),MIN(INDEX('Vergi'!$F$50:$AR$50,MATCH(15,'Zaman'!$F$9:$AR$9,0))-SUM(F67:AG67),MAX(0,'Vergi'!AH51-SUM(AH53:AH66))),0)</f>
        <v/>
      </c>
      <c r="AI67" s="18">
        <f>IF(AND('Zaman'!AI9&gt;15,'Zaman'!AI9-15&lt;=5),MIN(INDEX('Vergi'!$F$50:$AR$50,MATCH(15,'Zaman'!$F$9:$AR$9,0))-SUM(F67:AH67),MAX(0,'Vergi'!AI51-SUM(AI53:AI66))),0)</f>
        <v/>
      </c>
      <c r="AJ67" s="18">
        <f>IF(AND('Zaman'!AJ9&gt;15,'Zaman'!AJ9-15&lt;=5),MIN(INDEX('Vergi'!$F$50:$AR$50,MATCH(15,'Zaman'!$F$9:$AR$9,0))-SUM(F67:AI67),MAX(0,'Vergi'!AJ51-SUM(AJ53:AJ66))),0)</f>
        <v/>
      </c>
      <c r="AK67" s="18">
        <f>IF(AND('Zaman'!AK9&gt;15,'Zaman'!AK9-15&lt;=5),MIN(INDEX('Vergi'!$F$50:$AR$50,MATCH(15,'Zaman'!$F$9:$AR$9,0))-SUM(F67:AJ67),MAX(0,'Vergi'!AK51-SUM(AK53:AK66))),0)</f>
        <v/>
      </c>
      <c r="AL67" s="18">
        <f>IF(AND('Zaman'!AL9&gt;15,'Zaman'!AL9-15&lt;=5),MIN(INDEX('Vergi'!$F$50:$AR$50,MATCH(15,'Zaman'!$F$9:$AR$9,0))-SUM(F67:AK67),MAX(0,'Vergi'!AL51-SUM(AL53:AL66))),0)</f>
        <v/>
      </c>
      <c r="AM67" s="18">
        <f>IF(AND('Zaman'!AM9&gt;15,'Zaman'!AM9-15&lt;=5),MIN(INDEX('Vergi'!$F$50:$AR$50,MATCH(15,'Zaman'!$F$9:$AR$9,0))-SUM(F67:AL67),MAX(0,'Vergi'!AM51-SUM(AM53:AM66))),0)</f>
        <v/>
      </c>
      <c r="AN67" s="18">
        <f>IF(AND('Zaman'!AN9&gt;15,'Zaman'!AN9-15&lt;=5),MIN(INDEX('Vergi'!$F$50:$AR$50,MATCH(15,'Zaman'!$F$9:$AR$9,0))-SUM(F67:AM67),MAX(0,'Vergi'!AN51-SUM(AN53:AN66))),0)</f>
        <v/>
      </c>
      <c r="AO67" s="18">
        <f>IF(AND('Zaman'!AO9&gt;15,'Zaman'!AO9-15&lt;=5),MIN(INDEX('Vergi'!$F$50:$AR$50,MATCH(15,'Zaman'!$F$9:$AR$9,0))-SUM(F67:AN67),MAX(0,'Vergi'!AO51-SUM(AO53:AO66))),0)</f>
        <v/>
      </c>
      <c r="AP67" s="18">
        <f>IF(AND('Zaman'!AP9&gt;15,'Zaman'!AP9-15&lt;=5),MIN(INDEX('Vergi'!$F$50:$AR$50,MATCH(15,'Zaman'!$F$9:$AR$9,0))-SUM(F67:AO67),MAX(0,'Vergi'!AP51-SUM(AP53:AP66))),0)</f>
        <v/>
      </c>
      <c r="AQ67" s="18">
        <f>IF(AND('Zaman'!AQ9&gt;15,'Zaman'!AQ9-15&lt;=5),MIN(INDEX('Vergi'!$F$50:$AR$50,MATCH(15,'Zaman'!$F$9:$AR$9,0))-SUM(F67:AP67),MAX(0,'Vergi'!AQ51-SUM(AQ53:AQ66))),0)</f>
        <v/>
      </c>
      <c r="AR67" s="18">
        <f>IF(AND('Zaman'!AR9&gt;15,'Zaman'!AR9-15&lt;=5),MIN(INDEX('Vergi'!$F$50:$AR$50,MATCH(15,'Zaman'!$F$9:$AR$9,0))-SUM(F67:AQ67),MAX(0,'Vergi'!AR51-SUM(AR53:AR66))),0)</f>
        <v/>
      </c>
    </row>
    <row r="68">
      <c r="A68" t="inlineStr">
        <is>
          <t>Zarar yılı 16 — kullanım</t>
        </is>
      </c>
      <c r="B68" t="inlineStr">
        <is>
          <t>USD</t>
        </is>
      </c>
      <c r="F68" s="18">
        <f>IF(AND('Zaman'!F9&gt;16,'Zaman'!F9-16&lt;=5),MIN(INDEX('Vergi'!$F$50:$AR$50,MATCH(16,'Zaman'!$F$9:$AR$9,0))-0,MAX(0,'Vergi'!F51-SUM(F53:F67))),0)</f>
        <v/>
      </c>
      <c r="G68" s="18">
        <f>IF(AND('Zaman'!G9&gt;16,'Zaman'!G9-16&lt;=5),MIN(INDEX('Vergi'!$F$50:$AR$50,MATCH(16,'Zaman'!$F$9:$AR$9,0))-SUM(F68:F68),MAX(0,'Vergi'!G51-SUM(G53:G67))),0)</f>
        <v/>
      </c>
      <c r="H68" s="18">
        <f>IF(AND('Zaman'!H9&gt;16,'Zaman'!H9-16&lt;=5),MIN(INDEX('Vergi'!$F$50:$AR$50,MATCH(16,'Zaman'!$F$9:$AR$9,0))-SUM(F68:G68),MAX(0,'Vergi'!H51-SUM(H53:H67))),0)</f>
        <v/>
      </c>
      <c r="I68" s="18">
        <f>IF(AND('Zaman'!I9&gt;16,'Zaman'!I9-16&lt;=5),MIN(INDEX('Vergi'!$F$50:$AR$50,MATCH(16,'Zaman'!$F$9:$AR$9,0))-SUM(F68:H68),MAX(0,'Vergi'!I51-SUM(I53:I67))),0)</f>
        <v/>
      </c>
      <c r="J68" s="18">
        <f>IF(AND('Zaman'!J9&gt;16,'Zaman'!J9-16&lt;=5),MIN(INDEX('Vergi'!$F$50:$AR$50,MATCH(16,'Zaman'!$F$9:$AR$9,0))-SUM(F68:I68),MAX(0,'Vergi'!J51-SUM(J53:J67))),0)</f>
        <v/>
      </c>
      <c r="K68" s="18">
        <f>IF(AND('Zaman'!K9&gt;16,'Zaman'!K9-16&lt;=5),MIN(INDEX('Vergi'!$F$50:$AR$50,MATCH(16,'Zaman'!$F$9:$AR$9,0))-SUM(F68:J68),MAX(0,'Vergi'!K51-SUM(K53:K67))),0)</f>
        <v/>
      </c>
      <c r="L68" s="18">
        <f>IF(AND('Zaman'!L9&gt;16,'Zaman'!L9-16&lt;=5),MIN(INDEX('Vergi'!$F$50:$AR$50,MATCH(16,'Zaman'!$F$9:$AR$9,0))-SUM(F68:K68),MAX(0,'Vergi'!L51-SUM(L53:L67))),0)</f>
        <v/>
      </c>
      <c r="M68" s="18">
        <f>IF(AND('Zaman'!M9&gt;16,'Zaman'!M9-16&lt;=5),MIN(INDEX('Vergi'!$F$50:$AR$50,MATCH(16,'Zaman'!$F$9:$AR$9,0))-SUM(F68:L68),MAX(0,'Vergi'!M51-SUM(M53:M67))),0)</f>
        <v/>
      </c>
      <c r="N68" s="18">
        <f>IF(AND('Zaman'!N9&gt;16,'Zaman'!N9-16&lt;=5),MIN(INDEX('Vergi'!$F$50:$AR$50,MATCH(16,'Zaman'!$F$9:$AR$9,0))-SUM(F68:M68),MAX(0,'Vergi'!N51-SUM(N53:N67))),0)</f>
        <v/>
      </c>
      <c r="O68" s="18">
        <f>IF(AND('Zaman'!O9&gt;16,'Zaman'!O9-16&lt;=5),MIN(INDEX('Vergi'!$F$50:$AR$50,MATCH(16,'Zaman'!$F$9:$AR$9,0))-SUM(F68:N68),MAX(0,'Vergi'!O51-SUM(O53:O67))),0)</f>
        <v/>
      </c>
      <c r="P68" s="18">
        <f>IF(AND('Zaman'!P9&gt;16,'Zaman'!P9-16&lt;=5),MIN(INDEX('Vergi'!$F$50:$AR$50,MATCH(16,'Zaman'!$F$9:$AR$9,0))-SUM(F68:O68),MAX(0,'Vergi'!P51-SUM(P53:P67))),0)</f>
        <v/>
      </c>
      <c r="Q68" s="18">
        <f>IF(AND('Zaman'!Q9&gt;16,'Zaman'!Q9-16&lt;=5),MIN(INDEX('Vergi'!$F$50:$AR$50,MATCH(16,'Zaman'!$F$9:$AR$9,0))-SUM(F68:P68),MAX(0,'Vergi'!Q51-SUM(Q53:Q67))),0)</f>
        <v/>
      </c>
      <c r="R68" s="18">
        <f>IF(AND('Zaman'!R9&gt;16,'Zaman'!R9-16&lt;=5),MIN(INDEX('Vergi'!$F$50:$AR$50,MATCH(16,'Zaman'!$F$9:$AR$9,0))-SUM(F68:Q68),MAX(0,'Vergi'!R51-SUM(R53:R67))),0)</f>
        <v/>
      </c>
      <c r="S68" s="18">
        <f>IF(AND('Zaman'!S9&gt;16,'Zaman'!S9-16&lt;=5),MIN(INDEX('Vergi'!$F$50:$AR$50,MATCH(16,'Zaman'!$F$9:$AR$9,0))-SUM(F68:R68),MAX(0,'Vergi'!S51-SUM(S53:S67))),0)</f>
        <v/>
      </c>
      <c r="T68" s="18">
        <f>IF(AND('Zaman'!T9&gt;16,'Zaman'!T9-16&lt;=5),MIN(INDEX('Vergi'!$F$50:$AR$50,MATCH(16,'Zaman'!$F$9:$AR$9,0))-SUM(F68:S68),MAX(0,'Vergi'!T51-SUM(T53:T67))),0)</f>
        <v/>
      </c>
      <c r="U68" s="18">
        <f>IF(AND('Zaman'!U9&gt;16,'Zaman'!U9-16&lt;=5),MIN(INDEX('Vergi'!$F$50:$AR$50,MATCH(16,'Zaman'!$F$9:$AR$9,0))-SUM(F68:T68),MAX(0,'Vergi'!U51-SUM(U53:U67))),0)</f>
        <v/>
      </c>
      <c r="V68" s="18">
        <f>IF(AND('Zaman'!V9&gt;16,'Zaman'!V9-16&lt;=5),MIN(INDEX('Vergi'!$F$50:$AR$50,MATCH(16,'Zaman'!$F$9:$AR$9,0))-SUM(F68:U68),MAX(0,'Vergi'!V51-SUM(V53:V67))),0)</f>
        <v/>
      </c>
      <c r="W68" s="18">
        <f>IF(AND('Zaman'!W9&gt;16,'Zaman'!W9-16&lt;=5),MIN(INDEX('Vergi'!$F$50:$AR$50,MATCH(16,'Zaman'!$F$9:$AR$9,0))-SUM(F68:V68),MAX(0,'Vergi'!W51-SUM(W53:W67))),0)</f>
        <v/>
      </c>
      <c r="X68" s="18">
        <f>IF(AND('Zaman'!X9&gt;16,'Zaman'!X9-16&lt;=5),MIN(INDEX('Vergi'!$F$50:$AR$50,MATCH(16,'Zaman'!$F$9:$AR$9,0))-SUM(F68:W68),MAX(0,'Vergi'!X51-SUM(X53:X67))),0)</f>
        <v/>
      </c>
      <c r="Y68" s="18">
        <f>IF(AND('Zaman'!Y9&gt;16,'Zaman'!Y9-16&lt;=5),MIN(INDEX('Vergi'!$F$50:$AR$50,MATCH(16,'Zaman'!$F$9:$AR$9,0))-SUM(F68:X68),MAX(0,'Vergi'!Y51-SUM(Y53:Y67))),0)</f>
        <v/>
      </c>
      <c r="Z68" s="18">
        <f>IF(AND('Zaman'!Z9&gt;16,'Zaman'!Z9-16&lt;=5),MIN(INDEX('Vergi'!$F$50:$AR$50,MATCH(16,'Zaman'!$F$9:$AR$9,0))-SUM(F68:Y68),MAX(0,'Vergi'!Z51-SUM(Z53:Z67))),0)</f>
        <v/>
      </c>
      <c r="AA68" s="18">
        <f>IF(AND('Zaman'!AA9&gt;16,'Zaman'!AA9-16&lt;=5),MIN(INDEX('Vergi'!$F$50:$AR$50,MATCH(16,'Zaman'!$F$9:$AR$9,0))-SUM(F68:Z68),MAX(0,'Vergi'!AA51-SUM(AA53:AA67))),0)</f>
        <v/>
      </c>
      <c r="AB68" s="18">
        <f>IF(AND('Zaman'!AB9&gt;16,'Zaman'!AB9-16&lt;=5),MIN(INDEX('Vergi'!$F$50:$AR$50,MATCH(16,'Zaman'!$F$9:$AR$9,0))-SUM(F68:AA68),MAX(0,'Vergi'!AB51-SUM(AB53:AB67))),0)</f>
        <v/>
      </c>
      <c r="AC68" s="18">
        <f>IF(AND('Zaman'!AC9&gt;16,'Zaman'!AC9-16&lt;=5),MIN(INDEX('Vergi'!$F$50:$AR$50,MATCH(16,'Zaman'!$F$9:$AR$9,0))-SUM(F68:AB68),MAX(0,'Vergi'!AC51-SUM(AC53:AC67))),0)</f>
        <v/>
      </c>
      <c r="AD68" s="18">
        <f>IF(AND('Zaman'!AD9&gt;16,'Zaman'!AD9-16&lt;=5),MIN(INDEX('Vergi'!$F$50:$AR$50,MATCH(16,'Zaman'!$F$9:$AR$9,0))-SUM(F68:AC68),MAX(0,'Vergi'!AD51-SUM(AD53:AD67))),0)</f>
        <v/>
      </c>
      <c r="AE68" s="18">
        <f>IF(AND('Zaman'!AE9&gt;16,'Zaman'!AE9-16&lt;=5),MIN(INDEX('Vergi'!$F$50:$AR$50,MATCH(16,'Zaman'!$F$9:$AR$9,0))-SUM(F68:AD68),MAX(0,'Vergi'!AE51-SUM(AE53:AE67))),0)</f>
        <v/>
      </c>
      <c r="AF68" s="18">
        <f>IF(AND('Zaman'!AF9&gt;16,'Zaman'!AF9-16&lt;=5),MIN(INDEX('Vergi'!$F$50:$AR$50,MATCH(16,'Zaman'!$F$9:$AR$9,0))-SUM(F68:AE68),MAX(0,'Vergi'!AF51-SUM(AF53:AF67))),0)</f>
        <v/>
      </c>
      <c r="AG68" s="18">
        <f>IF(AND('Zaman'!AG9&gt;16,'Zaman'!AG9-16&lt;=5),MIN(INDEX('Vergi'!$F$50:$AR$50,MATCH(16,'Zaman'!$F$9:$AR$9,0))-SUM(F68:AF68),MAX(0,'Vergi'!AG51-SUM(AG53:AG67))),0)</f>
        <v/>
      </c>
      <c r="AH68" s="18">
        <f>IF(AND('Zaman'!AH9&gt;16,'Zaman'!AH9-16&lt;=5),MIN(INDEX('Vergi'!$F$50:$AR$50,MATCH(16,'Zaman'!$F$9:$AR$9,0))-SUM(F68:AG68),MAX(0,'Vergi'!AH51-SUM(AH53:AH67))),0)</f>
        <v/>
      </c>
      <c r="AI68" s="18">
        <f>IF(AND('Zaman'!AI9&gt;16,'Zaman'!AI9-16&lt;=5),MIN(INDEX('Vergi'!$F$50:$AR$50,MATCH(16,'Zaman'!$F$9:$AR$9,0))-SUM(F68:AH68),MAX(0,'Vergi'!AI51-SUM(AI53:AI67))),0)</f>
        <v/>
      </c>
      <c r="AJ68" s="18">
        <f>IF(AND('Zaman'!AJ9&gt;16,'Zaman'!AJ9-16&lt;=5),MIN(INDEX('Vergi'!$F$50:$AR$50,MATCH(16,'Zaman'!$F$9:$AR$9,0))-SUM(F68:AI68),MAX(0,'Vergi'!AJ51-SUM(AJ53:AJ67))),0)</f>
        <v/>
      </c>
      <c r="AK68" s="18">
        <f>IF(AND('Zaman'!AK9&gt;16,'Zaman'!AK9-16&lt;=5),MIN(INDEX('Vergi'!$F$50:$AR$50,MATCH(16,'Zaman'!$F$9:$AR$9,0))-SUM(F68:AJ68),MAX(0,'Vergi'!AK51-SUM(AK53:AK67))),0)</f>
        <v/>
      </c>
      <c r="AL68" s="18">
        <f>IF(AND('Zaman'!AL9&gt;16,'Zaman'!AL9-16&lt;=5),MIN(INDEX('Vergi'!$F$50:$AR$50,MATCH(16,'Zaman'!$F$9:$AR$9,0))-SUM(F68:AK68),MAX(0,'Vergi'!AL51-SUM(AL53:AL67))),0)</f>
        <v/>
      </c>
      <c r="AM68" s="18">
        <f>IF(AND('Zaman'!AM9&gt;16,'Zaman'!AM9-16&lt;=5),MIN(INDEX('Vergi'!$F$50:$AR$50,MATCH(16,'Zaman'!$F$9:$AR$9,0))-SUM(F68:AL68),MAX(0,'Vergi'!AM51-SUM(AM53:AM67))),0)</f>
        <v/>
      </c>
      <c r="AN68" s="18">
        <f>IF(AND('Zaman'!AN9&gt;16,'Zaman'!AN9-16&lt;=5),MIN(INDEX('Vergi'!$F$50:$AR$50,MATCH(16,'Zaman'!$F$9:$AR$9,0))-SUM(F68:AM68),MAX(0,'Vergi'!AN51-SUM(AN53:AN67))),0)</f>
        <v/>
      </c>
      <c r="AO68" s="18">
        <f>IF(AND('Zaman'!AO9&gt;16,'Zaman'!AO9-16&lt;=5),MIN(INDEX('Vergi'!$F$50:$AR$50,MATCH(16,'Zaman'!$F$9:$AR$9,0))-SUM(F68:AN68),MAX(0,'Vergi'!AO51-SUM(AO53:AO67))),0)</f>
        <v/>
      </c>
      <c r="AP68" s="18">
        <f>IF(AND('Zaman'!AP9&gt;16,'Zaman'!AP9-16&lt;=5),MIN(INDEX('Vergi'!$F$50:$AR$50,MATCH(16,'Zaman'!$F$9:$AR$9,0))-SUM(F68:AO68),MAX(0,'Vergi'!AP51-SUM(AP53:AP67))),0)</f>
        <v/>
      </c>
      <c r="AQ68" s="18">
        <f>IF(AND('Zaman'!AQ9&gt;16,'Zaman'!AQ9-16&lt;=5),MIN(INDEX('Vergi'!$F$50:$AR$50,MATCH(16,'Zaman'!$F$9:$AR$9,0))-SUM(F68:AP68),MAX(0,'Vergi'!AQ51-SUM(AQ53:AQ67))),0)</f>
        <v/>
      </c>
      <c r="AR68" s="18">
        <f>IF(AND('Zaman'!AR9&gt;16,'Zaman'!AR9-16&lt;=5),MIN(INDEX('Vergi'!$F$50:$AR$50,MATCH(16,'Zaman'!$F$9:$AR$9,0))-SUM(F68:AQ68),MAX(0,'Vergi'!AR51-SUM(AR53:AR67))),0)</f>
        <v/>
      </c>
    </row>
    <row r="69">
      <c r="A69" t="inlineStr">
        <is>
          <t>Zarar yılı 17 — kullanım</t>
        </is>
      </c>
      <c r="B69" t="inlineStr">
        <is>
          <t>USD</t>
        </is>
      </c>
      <c r="F69" s="18">
        <f>IF(AND('Zaman'!F9&gt;17,'Zaman'!F9-17&lt;=5),MIN(INDEX('Vergi'!$F$50:$AR$50,MATCH(17,'Zaman'!$F$9:$AR$9,0))-0,MAX(0,'Vergi'!F51-SUM(F53:F68))),0)</f>
        <v/>
      </c>
      <c r="G69" s="18">
        <f>IF(AND('Zaman'!G9&gt;17,'Zaman'!G9-17&lt;=5),MIN(INDEX('Vergi'!$F$50:$AR$50,MATCH(17,'Zaman'!$F$9:$AR$9,0))-SUM(F69:F69),MAX(0,'Vergi'!G51-SUM(G53:G68))),0)</f>
        <v/>
      </c>
      <c r="H69" s="18">
        <f>IF(AND('Zaman'!H9&gt;17,'Zaman'!H9-17&lt;=5),MIN(INDEX('Vergi'!$F$50:$AR$50,MATCH(17,'Zaman'!$F$9:$AR$9,0))-SUM(F69:G69),MAX(0,'Vergi'!H51-SUM(H53:H68))),0)</f>
        <v/>
      </c>
      <c r="I69" s="18">
        <f>IF(AND('Zaman'!I9&gt;17,'Zaman'!I9-17&lt;=5),MIN(INDEX('Vergi'!$F$50:$AR$50,MATCH(17,'Zaman'!$F$9:$AR$9,0))-SUM(F69:H69),MAX(0,'Vergi'!I51-SUM(I53:I68))),0)</f>
        <v/>
      </c>
      <c r="J69" s="18">
        <f>IF(AND('Zaman'!J9&gt;17,'Zaman'!J9-17&lt;=5),MIN(INDEX('Vergi'!$F$50:$AR$50,MATCH(17,'Zaman'!$F$9:$AR$9,0))-SUM(F69:I69),MAX(0,'Vergi'!J51-SUM(J53:J68))),0)</f>
        <v/>
      </c>
      <c r="K69" s="18">
        <f>IF(AND('Zaman'!K9&gt;17,'Zaman'!K9-17&lt;=5),MIN(INDEX('Vergi'!$F$50:$AR$50,MATCH(17,'Zaman'!$F$9:$AR$9,0))-SUM(F69:J69),MAX(0,'Vergi'!K51-SUM(K53:K68))),0)</f>
        <v/>
      </c>
      <c r="L69" s="18">
        <f>IF(AND('Zaman'!L9&gt;17,'Zaman'!L9-17&lt;=5),MIN(INDEX('Vergi'!$F$50:$AR$50,MATCH(17,'Zaman'!$F$9:$AR$9,0))-SUM(F69:K69),MAX(0,'Vergi'!L51-SUM(L53:L68))),0)</f>
        <v/>
      </c>
      <c r="M69" s="18">
        <f>IF(AND('Zaman'!M9&gt;17,'Zaman'!M9-17&lt;=5),MIN(INDEX('Vergi'!$F$50:$AR$50,MATCH(17,'Zaman'!$F$9:$AR$9,0))-SUM(F69:L69),MAX(0,'Vergi'!M51-SUM(M53:M68))),0)</f>
        <v/>
      </c>
      <c r="N69" s="18">
        <f>IF(AND('Zaman'!N9&gt;17,'Zaman'!N9-17&lt;=5),MIN(INDEX('Vergi'!$F$50:$AR$50,MATCH(17,'Zaman'!$F$9:$AR$9,0))-SUM(F69:M69),MAX(0,'Vergi'!N51-SUM(N53:N68))),0)</f>
        <v/>
      </c>
      <c r="O69" s="18">
        <f>IF(AND('Zaman'!O9&gt;17,'Zaman'!O9-17&lt;=5),MIN(INDEX('Vergi'!$F$50:$AR$50,MATCH(17,'Zaman'!$F$9:$AR$9,0))-SUM(F69:N69),MAX(0,'Vergi'!O51-SUM(O53:O68))),0)</f>
        <v/>
      </c>
      <c r="P69" s="18">
        <f>IF(AND('Zaman'!P9&gt;17,'Zaman'!P9-17&lt;=5),MIN(INDEX('Vergi'!$F$50:$AR$50,MATCH(17,'Zaman'!$F$9:$AR$9,0))-SUM(F69:O69),MAX(0,'Vergi'!P51-SUM(P53:P68))),0)</f>
        <v/>
      </c>
      <c r="Q69" s="18">
        <f>IF(AND('Zaman'!Q9&gt;17,'Zaman'!Q9-17&lt;=5),MIN(INDEX('Vergi'!$F$50:$AR$50,MATCH(17,'Zaman'!$F$9:$AR$9,0))-SUM(F69:P69),MAX(0,'Vergi'!Q51-SUM(Q53:Q68))),0)</f>
        <v/>
      </c>
      <c r="R69" s="18">
        <f>IF(AND('Zaman'!R9&gt;17,'Zaman'!R9-17&lt;=5),MIN(INDEX('Vergi'!$F$50:$AR$50,MATCH(17,'Zaman'!$F$9:$AR$9,0))-SUM(F69:Q69),MAX(0,'Vergi'!R51-SUM(R53:R68))),0)</f>
        <v/>
      </c>
      <c r="S69" s="18">
        <f>IF(AND('Zaman'!S9&gt;17,'Zaman'!S9-17&lt;=5),MIN(INDEX('Vergi'!$F$50:$AR$50,MATCH(17,'Zaman'!$F$9:$AR$9,0))-SUM(F69:R69),MAX(0,'Vergi'!S51-SUM(S53:S68))),0)</f>
        <v/>
      </c>
      <c r="T69" s="18">
        <f>IF(AND('Zaman'!T9&gt;17,'Zaman'!T9-17&lt;=5),MIN(INDEX('Vergi'!$F$50:$AR$50,MATCH(17,'Zaman'!$F$9:$AR$9,0))-SUM(F69:S69),MAX(0,'Vergi'!T51-SUM(T53:T68))),0)</f>
        <v/>
      </c>
      <c r="U69" s="18">
        <f>IF(AND('Zaman'!U9&gt;17,'Zaman'!U9-17&lt;=5),MIN(INDEX('Vergi'!$F$50:$AR$50,MATCH(17,'Zaman'!$F$9:$AR$9,0))-SUM(F69:T69),MAX(0,'Vergi'!U51-SUM(U53:U68))),0)</f>
        <v/>
      </c>
      <c r="V69" s="18">
        <f>IF(AND('Zaman'!V9&gt;17,'Zaman'!V9-17&lt;=5),MIN(INDEX('Vergi'!$F$50:$AR$50,MATCH(17,'Zaman'!$F$9:$AR$9,0))-SUM(F69:U69),MAX(0,'Vergi'!V51-SUM(V53:V68))),0)</f>
        <v/>
      </c>
      <c r="W69" s="18">
        <f>IF(AND('Zaman'!W9&gt;17,'Zaman'!W9-17&lt;=5),MIN(INDEX('Vergi'!$F$50:$AR$50,MATCH(17,'Zaman'!$F$9:$AR$9,0))-SUM(F69:V69),MAX(0,'Vergi'!W51-SUM(W53:W68))),0)</f>
        <v/>
      </c>
      <c r="X69" s="18">
        <f>IF(AND('Zaman'!X9&gt;17,'Zaman'!X9-17&lt;=5),MIN(INDEX('Vergi'!$F$50:$AR$50,MATCH(17,'Zaman'!$F$9:$AR$9,0))-SUM(F69:W69),MAX(0,'Vergi'!X51-SUM(X53:X68))),0)</f>
        <v/>
      </c>
      <c r="Y69" s="18">
        <f>IF(AND('Zaman'!Y9&gt;17,'Zaman'!Y9-17&lt;=5),MIN(INDEX('Vergi'!$F$50:$AR$50,MATCH(17,'Zaman'!$F$9:$AR$9,0))-SUM(F69:X69),MAX(0,'Vergi'!Y51-SUM(Y53:Y68))),0)</f>
        <v/>
      </c>
      <c r="Z69" s="18">
        <f>IF(AND('Zaman'!Z9&gt;17,'Zaman'!Z9-17&lt;=5),MIN(INDEX('Vergi'!$F$50:$AR$50,MATCH(17,'Zaman'!$F$9:$AR$9,0))-SUM(F69:Y69),MAX(0,'Vergi'!Z51-SUM(Z53:Z68))),0)</f>
        <v/>
      </c>
      <c r="AA69" s="18">
        <f>IF(AND('Zaman'!AA9&gt;17,'Zaman'!AA9-17&lt;=5),MIN(INDEX('Vergi'!$F$50:$AR$50,MATCH(17,'Zaman'!$F$9:$AR$9,0))-SUM(F69:Z69),MAX(0,'Vergi'!AA51-SUM(AA53:AA68))),0)</f>
        <v/>
      </c>
      <c r="AB69" s="18">
        <f>IF(AND('Zaman'!AB9&gt;17,'Zaman'!AB9-17&lt;=5),MIN(INDEX('Vergi'!$F$50:$AR$50,MATCH(17,'Zaman'!$F$9:$AR$9,0))-SUM(F69:AA69),MAX(0,'Vergi'!AB51-SUM(AB53:AB68))),0)</f>
        <v/>
      </c>
      <c r="AC69" s="18">
        <f>IF(AND('Zaman'!AC9&gt;17,'Zaman'!AC9-17&lt;=5),MIN(INDEX('Vergi'!$F$50:$AR$50,MATCH(17,'Zaman'!$F$9:$AR$9,0))-SUM(F69:AB69),MAX(0,'Vergi'!AC51-SUM(AC53:AC68))),0)</f>
        <v/>
      </c>
      <c r="AD69" s="18">
        <f>IF(AND('Zaman'!AD9&gt;17,'Zaman'!AD9-17&lt;=5),MIN(INDEX('Vergi'!$F$50:$AR$50,MATCH(17,'Zaman'!$F$9:$AR$9,0))-SUM(F69:AC69),MAX(0,'Vergi'!AD51-SUM(AD53:AD68))),0)</f>
        <v/>
      </c>
      <c r="AE69" s="18">
        <f>IF(AND('Zaman'!AE9&gt;17,'Zaman'!AE9-17&lt;=5),MIN(INDEX('Vergi'!$F$50:$AR$50,MATCH(17,'Zaman'!$F$9:$AR$9,0))-SUM(F69:AD69),MAX(0,'Vergi'!AE51-SUM(AE53:AE68))),0)</f>
        <v/>
      </c>
      <c r="AF69" s="18">
        <f>IF(AND('Zaman'!AF9&gt;17,'Zaman'!AF9-17&lt;=5),MIN(INDEX('Vergi'!$F$50:$AR$50,MATCH(17,'Zaman'!$F$9:$AR$9,0))-SUM(F69:AE69),MAX(0,'Vergi'!AF51-SUM(AF53:AF68))),0)</f>
        <v/>
      </c>
      <c r="AG69" s="18">
        <f>IF(AND('Zaman'!AG9&gt;17,'Zaman'!AG9-17&lt;=5),MIN(INDEX('Vergi'!$F$50:$AR$50,MATCH(17,'Zaman'!$F$9:$AR$9,0))-SUM(F69:AF69),MAX(0,'Vergi'!AG51-SUM(AG53:AG68))),0)</f>
        <v/>
      </c>
      <c r="AH69" s="18">
        <f>IF(AND('Zaman'!AH9&gt;17,'Zaman'!AH9-17&lt;=5),MIN(INDEX('Vergi'!$F$50:$AR$50,MATCH(17,'Zaman'!$F$9:$AR$9,0))-SUM(F69:AG69),MAX(0,'Vergi'!AH51-SUM(AH53:AH68))),0)</f>
        <v/>
      </c>
      <c r="AI69" s="18">
        <f>IF(AND('Zaman'!AI9&gt;17,'Zaman'!AI9-17&lt;=5),MIN(INDEX('Vergi'!$F$50:$AR$50,MATCH(17,'Zaman'!$F$9:$AR$9,0))-SUM(F69:AH69),MAX(0,'Vergi'!AI51-SUM(AI53:AI68))),0)</f>
        <v/>
      </c>
      <c r="AJ69" s="18">
        <f>IF(AND('Zaman'!AJ9&gt;17,'Zaman'!AJ9-17&lt;=5),MIN(INDEX('Vergi'!$F$50:$AR$50,MATCH(17,'Zaman'!$F$9:$AR$9,0))-SUM(F69:AI69),MAX(0,'Vergi'!AJ51-SUM(AJ53:AJ68))),0)</f>
        <v/>
      </c>
      <c r="AK69" s="18">
        <f>IF(AND('Zaman'!AK9&gt;17,'Zaman'!AK9-17&lt;=5),MIN(INDEX('Vergi'!$F$50:$AR$50,MATCH(17,'Zaman'!$F$9:$AR$9,0))-SUM(F69:AJ69),MAX(0,'Vergi'!AK51-SUM(AK53:AK68))),0)</f>
        <v/>
      </c>
      <c r="AL69" s="18">
        <f>IF(AND('Zaman'!AL9&gt;17,'Zaman'!AL9-17&lt;=5),MIN(INDEX('Vergi'!$F$50:$AR$50,MATCH(17,'Zaman'!$F$9:$AR$9,0))-SUM(F69:AK69),MAX(0,'Vergi'!AL51-SUM(AL53:AL68))),0)</f>
        <v/>
      </c>
      <c r="AM69" s="18">
        <f>IF(AND('Zaman'!AM9&gt;17,'Zaman'!AM9-17&lt;=5),MIN(INDEX('Vergi'!$F$50:$AR$50,MATCH(17,'Zaman'!$F$9:$AR$9,0))-SUM(F69:AL69),MAX(0,'Vergi'!AM51-SUM(AM53:AM68))),0)</f>
        <v/>
      </c>
      <c r="AN69" s="18">
        <f>IF(AND('Zaman'!AN9&gt;17,'Zaman'!AN9-17&lt;=5),MIN(INDEX('Vergi'!$F$50:$AR$50,MATCH(17,'Zaman'!$F$9:$AR$9,0))-SUM(F69:AM69),MAX(0,'Vergi'!AN51-SUM(AN53:AN68))),0)</f>
        <v/>
      </c>
      <c r="AO69" s="18">
        <f>IF(AND('Zaman'!AO9&gt;17,'Zaman'!AO9-17&lt;=5),MIN(INDEX('Vergi'!$F$50:$AR$50,MATCH(17,'Zaman'!$F$9:$AR$9,0))-SUM(F69:AN69),MAX(0,'Vergi'!AO51-SUM(AO53:AO68))),0)</f>
        <v/>
      </c>
      <c r="AP69" s="18">
        <f>IF(AND('Zaman'!AP9&gt;17,'Zaman'!AP9-17&lt;=5),MIN(INDEX('Vergi'!$F$50:$AR$50,MATCH(17,'Zaman'!$F$9:$AR$9,0))-SUM(F69:AO69),MAX(0,'Vergi'!AP51-SUM(AP53:AP68))),0)</f>
        <v/>
      </c>
      <c r="AQ69" s="18">
        <f>IF(AND('Zaman'!AQ9&gt;17,'Zaman'!AQ9-17&lt;=5),MIN(INDEX('Vergi'!$F$50:$AR$50,MATCH(17,'Zaman'!$F$9:$AR$9,0))-SUM(F69:AP69),MAX(0,'Vergi'!AQ51-SUM(AQ53:AQ68))),0)</f>
        <v/>
      </c>
      <c r="AR69" s="18">
        <f>IF(AND('Zaman'!AR9&gt;17,'Zaman'!AR9-17&lt;=5),MIN(INDEX('Vergi'!$F$50:$AR$50,MATCH(17,'Zaman'!$F$9:$AR$9,0))-SUM(F69:AQ69),MAX(0,'Vergi'!AR51-SUM(AR53:AR68))),0)</f>
        <v/>
      </c>
    </row>
    <row r="70">
      <c r="A70" t="inlineStr">
        <is>
          <t>Zarar yılı 18 — kullanım</t>
        </is>
      </c>
      <c r="B70" t="inlineStr">
        <is>
          <t>USD</t>
        </is>
      </c>
      <c r="F70" s="18">
        <f>IF(AND('Zaman'!F9&gt;18,'Zaman'!F9-18&lt;=5),MIN(INDEX('Vergi'!$F$50:$AR$50,MATCH(18,'Zaman'!$F$9:$AR$9,0))-0,MAX(0,'Vergi'!F51-SUM(F53:F69))),0)</f>
        <v/>
      </c>
      <c r="G70" s="18">
        <f>IF(AND('Zaman'!G9&gt;18,'Zaman'!G9-18&lt;=5),MIN(INDEX('Vergi'!$F$50:$AR$50,MATCH(18,'Zaman'!$F$9:$AR$9,0))-SUM(F70:F70),MAX(0,'Vergi'!G51-SUM(G53:G69))),0)</f>
        <v/>
      </c>
      <c r="H70" s="18">
        <f>IF(AND('Zaman'!H9&gt;18,'Zaman'!H9-18&lt;=5),MIN(INDEX('Vergi'!$F$50:$AR$50,MATCH(18,'Zaman'!$F$9:$AR$9,0))-SUM(F70:G70),MAX(0,'Vergi'!H51-SUM(H53:H69))),0)</f>
        <v/>
      </c>
      <c r="I70" s="18">
        <f>IF(AND('Zaman'!I9&gt;18,'Zaman'!I9-18&lt;=5),MIN(INDEX('Vergi'!$F$50:$AR$50,MATCH(18,'Zaman'!$F$9:$AR$9,0))-SUM(F70:H70),MAX(0,'Vergi'!I51-SUM(I53:I69))),0)</f>
        <v/>
      </c>
      <c r="J70" s="18">
        <f>IF(AND('Zaman'!J9&gt;18,'Zaman'!J9-18&lt;=5),MIN(INDEX('Vergi'!$F$50:$AR$50,MATCH(18,'Zaman'!$F$9:$AR$9,0))-SUM(F70:I70),MAX(0,'Vergi'!J51-SUM(J53:J69))),0)</f>
        <v/>
      </c>
      <c r="K70" s="18">
        <f>IF(AND('Zaman'!K9&gt;18,'Zaman'!K9-18&lt;=5),MIN(INDEX('Vergi'!$F$50:$AR$50,MATCH(18,'Zaman'!$F$9:$AR$9,0))-SUM(F70:J70),MAX(0,'Vergi'!K51-SUM(K53:K69))),0)</f>
        <v/>
      </c>
      <c r="L70" s="18">
        <f>IF(AND('Zaman'!L9&gt;18,'Zaman'!L9-18&lt;=5),MIN(INDEX('Vergi'!$F$50:$AR$50,MATCH(18,'Zaman'!$F$9:$AR$9,0))-SUM(F70:K70),MAX(0,'Vergi'!L51-SUM(L53:L69))),0)</f>
        <v/>
      </c>
      <c r="M70" s="18">
        <f>IF(AND('Zaman'!M9&gt;18,'Zaman'!M9-18&lt;=5),MIN(INDEX('Vergi'!$F$50:$AR$50,MATCH(18,'Zaman'!$F$9:$AR$9,0))-SUM(F70:L70),MAX(0,'Vergi'!M51-SUM(M53:M69))),0)</f>
        <v/>
      </c>
      <c r="N70" s="18">
        <f>IF(AND('Zaman'!N9&gt;18,'Zaman'!N9-18&lt;=5),MIN(INDEX('Vergi'!$F$50:$AR$50,MATCH(18,'Zaman'!$F$9:$AR$9,0))-SUM(F70:M70),MAX(0,'Vergi'!N51-SUM(N53:N69))),0)</f>
        <v/>
      </c>
      <c r="O70" s="18">
        <f>IF(AND('Zaman'!O9&gt;18,'Zaman'!O9-18&lt;=5),MIN(INDEX('Vergi'!$F$50:$AR$50,MATCH(18,'Zaman'!$F$9:$AR$9,0))-SUM(F70:N70),MAX(0,'Vergi'!O51-SUM(O53:O69))),0)</f>
        <v/>
      </c>
      <c r="P70" s="18">
        <f>IF(AND('Zaman'!P9&gt;18,'Zaman'!P9-18&lt;=5),MIN(INDEX('Vergi'!$F$50:$AR$50,MATCH(18,'Zaman'!$F$9:$AR$9,0))-SUM(F70:O70),MAX(0,'Vergi'!P51-SUM(P53:P69))),0)</f>
        <v/>
      </c>
      <c r="Q70" s="18">
        <f>IF(AND('Zaman'!Q9&gt;18,'Zaman'!Q9-18&lt;=5),MIN(INDEX('Vergi'!$F$50:$AR$50,MATCH(18,'Zaman'!$F$9:$AR$9,0))-SUM(F70:P70),MAX(0,'Vergi'!Q51-SUM(Q53:Q69))),0)</f>
        <v/>
      </c>
      <c r="R70" s="18">
        <f>IF(AND('Zaman'!R9&gt;18,'Zaman'!R9-18&lt;=5),MIN(INDEX('Vergi'!$F$50:$AR$50,MATCH(18,'Zaman'!$F$9:$AR$9,0))-SUM(F70:Q70),MAX(0,'Vergi'!R51-SUM(R53:R69))),0)</f>
        <v/>
      </c>
      <c r="S70" s="18">
        <f>IF(AND('Zaman'!S9&gt;18,'Zaman'!S9-18&lt;=5),MIN(INDEX('Vergi'!$F$50:$AR$50,MATCH(18,'Zaman'!$F$9:$AR$9,0))-SUM(F70:R70),MAX(0,'Vergi'!S51-SUM(S53:S69))),0)</f>
        <v/>
      </c>
      <c r="T70" s="18">
        <f>IF(AND('Zaman'!T9&gt;18,'Zaman'!T9-18&lt;=5),MIN(INDEX('Vergi'!$F$50:$AR$50,MATCH(18,'Zaman'!$F$9:$AR$9,0))-SUM(F70:S70),MAX(0,'Vergi'!T51-SUM(T53:T69))),0)</f>
        <v/>
      </c>
      <c r="U70" s="18">
        <f>IF(AND('Zaman'!U9&gt;18,'Zaman'!U9-18&lt;=5),MIN(INDEX('Vergi'!$F$50:$AR$50,MATCH(18,'Zaman'!$F$9:$AR$9,0))-SUM(F70:T70),MAX(0,'Vergi'!U51-SUM(U53:U69))),0)</f>
        <v/>
      </c>
      <c r="V70" s="18">
        <f>IF(AND('Zaman'!V9&gt;18,'Zaman'!V9-18&lt;=5),MIN(INDEX('Vergi'!$F$50:$AR$50,MATCH(18,'Zaman'!$F$9:$AR$9,0))-SUM(F70:U70),MAX(0,'Vergi'!V51-SUM(V53:V69))),0)</f>
        <v/>
      </c>
      <c r="W70" s="18">
        <f>IF(AND('Zaman'!W9&gt;18,'Zaman'!W9-18&lt;=5),MIN(INDEX('Vergi'!$F$50:$AR$50,MATCH(18,'Zaman'!$F$9:$AR$9,0))-SUM(F70:V70),MAX(0,'Vergi'!W51-SUM(W53:W69))),0)</f>
        <v/>
      </c>
      <c r="X70" s="18">
        <f>IF(AND('Zaman'!X9&gt;18,'Zaman'!X9-18&lt;=5),MIN(INDEX('Vergi'!$F$50:$AR$50,MATCH(18,'Zaman'!$F$9:$AR$9,0))-SUM(F70:W70),MAX(0,'Vergi'!X51-SUM(X53:X69))),0)</f>
        <v/>
      </c>
      <c r="Y70" s="18">
        <f>IF(AND('Zaman'!Y9&gt;18,'Zaman'!Y9-18&lt;=5),MIN(INDEX('Vergi'!$F$50:$AR$50,MATCH(18,'Zaman'!$F$9:$AR$9,0))-SUM(F70:X70),MAX(0,'Vergi'!Y51-SUM(Y53:Y69))),0)</f>
        <v/>
      </c>
      <c r="Z70" s="18">
        <f>IF(AND('Zaman'!Z9&gt;18,'Zaman'!Z9-18&lt;=5),MIN(INDEX('Vergi'!$F$50:$AR$50,MATCH(18,'Zaman'!$F$9:$AR$9,0))-SUM(F70:Y70),MAX(0,'Vergi'!Z51-SUM(Z53:Z69))),0)</f>
        <v/>
      </c>
      <c r="AA70" s="18">
        <f>IF(AND('Zaman'!AA9&gt;18,'Zaman'!AA9-18&lt;=5),MIN(INDEX('Vergi'!$F$50:$AR$50,MATCH(18,'Zaman'!$F$9:$AR$9,0))-SUM(F70:Z70),MAX(0,'Vergi'!AA51-SUM(AA53:AA69))),0)</f>
        <v/>
      </c>
      <c r="AB70" s="18">
        <f>IF(AND('Zaman'!AB9&gt;18,'Zaman'!AB9-18&lt;=5),MIN(INDEX('Vergi'!$F$50:$AR$50,MATCH(18,'Zaman'!$F$9:$AR$9,0))-SUM(F70:AA70),MAX(0,'Vergi'!AB51-SUM(AB53:AB69))),0)</f>
        <v/>
      </c>
      <c r="AC70" s="18">
        <f>IF(AND('Zaman'!AC9&gt;18,'Zaman'!AC9-18&lt;=5),MIN(INDEX('Vergi'!$F$50:$AR$50,MATCH(18,'Zaman'!$F$9:$AR$9,0))-SUM(F70:AB70),MAX(0,'Vergi'!AC51-SUM(AC53:AC69))),0)</f>
        <v/>
      </c>
      <c r="AD70" s="18">
        <f>IF(AND('Zaman'!AD9&gt;18,'Zaman'!AD9-18&lt;=5),MIN(INDEX('Vergi'!$F$50:$AR$50,MATCH(18,'Zaman'!$F$9:$AR$9,0))-SUM(F70:AC70),MAX(0,'Vergi'!AD51-SUM(AD53:AD69))),0)</f>
        <v/>
      </c>
      <c r="AE70" s="18">
        <f>IF(AND('Zaman'!AE9&gt;18,'Zaman'!AE9-18&lt;=5),MIN(INDEX('Vergi'!$F$50:$AR$50,MATCH(18,'Zaman'!$F$9:$AR$9,0))-SUM(F70:AD70),MAX(0,'Vergi'!AE51-SUM(AE53:AE69))),0)</f>
        <v/>
      </c>
      <c r="AF70" s="18">
        <f>IF(AND('Zaman'!AF9&gt;18,'Zaman'!AF9-18&lt;=5),MIN(INDEX('Vergi'!$F$50:$AR$50,MATCH(18,'Zaman'!$F$9:$AR$9,0))-SUM(F70:AE70),MAX(0,'Vergi'!AF51-SUM(AF53:AF69))),0)</f>
        <v/>
      </c>
      <c r="AG70" s="18">
        <f>IF(AND('Zaman'!AG9&gt;18,'Zaman'!AG9-18&lt;=5),MIN(INDEX('Vergi'!$F$50:$AR$50,MATCH(18,'Zaman'!$F$9:$AR$9,0))-SUM(F70:AF70),MAX(0,'Vergi'!AG51-SUM(AG53:AG69))),0)</f>
        <v/>
      </c>
      <c r="AH70" s="18">
        <f>IF(AND('Zaman'!AH9&gt;18,'Zaman'!AH9-18&lt;=5),MIN(INDEX('Vergi'!$F$50:$AR$50,MATCH(18,'Zaman'!$F$9:$AR$9,0))-SUM(F70:AG70),MAX(0,'Vergi'!AH51-SUM(AH53:AH69))),0)</f>
        <v/>
      </c>
      <c r="AI70" s="18">
        <f>IF(AND('Zaman'!AI9&gt;18,'Zaman'!AI9-18&lt;=5),MIN(INDEX('Vergi'!$F$50:$AR$50,MATCH(18,'Zaman'!$F$9:$AR$9,0))-SUM(F70:AH70),MAX(0,'Vergi'!AI51-SUM(AI53:AI69))),0)</f>
        <v/>
      </c>
      <c r="AJ70" s="18">
        <f>IF(AND('Zaman'!AJ9&gt;18,'Zaman'!AJ9-18&lt;=5),MIN(INDEX('Vergi'!$F$50:$AR$50,MATCH(18,'Zaman'!$F$9:$AR$9,0))-SUM(F70:AI70),MAX(0,'Vergi'!AJ51-SUM(AJ53:AJ69))),0)</f>
        <v/>
      </c>
      <c r="AK70" s="18">
        <f>IF(AND('Zaman'!AK9&gt;18,'Zaman'!AK9-18&lt;=5),MIN(INDEX('Vergi'!$F$50:$AR$50,MATCH(18,'Zaman'!$F$9:$AR$9,0))-SUM(F70:AJ70),MAX(0,'Vergi'!AK51-SUM(AK53:AK69))),0)</f>
        <v/>
      </c>
      <c r="AL70" s="18">
        <f>IF(AND('Zaman'!AL9&gt;18,'Zaman'!AL9-18&lt;=5),MIN(INDEX('Vergi'!$F$50:$AR$50,MATCH(18,'Zaman'!$F$9:$AR$9,0))-SUM(F70:AK70),MAX(0,'Vergi'!AL51-SUM(AL53:AL69))),0)</f>
        <v/>
      </c>
      <c r="AM70" s="18">
        <f>IF(AND('Zaman'!AM9&gt;18,'Zaman'!AM9-18&lt;=5),MIN(INDEX('Vergi'!$F$50:$AR$50,MATCH(18,'Zaman'!$F$9:$AR$9,0))-SUM(F70:AL70),MAX(0,'Vergi'!AM51-SUM(AM53:AM69))),0)</f>
        <v/>
      </c>
      <c r="AN70" s="18">
        <f>IF(AND('Zaman'!AN9&gt;18,'Zaman'!AN9-18&lt;=5),MIN(INDEX('Vergi'!$F$50:$AR$50,MATCH(18,'Zaman'!$F$9:$AR$9,0))-SUM(F70:AM70),MAX(0,'Vergi'!AN51-SUM(AN53:AN69))),0)</f>
        <v/>
      </c>
      <c r="AO70" s="18">
        <f>IF(AND('Zaman'!AO9&gt;18,'Zaman'!AO9-18&lt;=5),MIN(INDEX('Vergi'!$F$50:$AR$50,MATCH(18,'Zaman'!$F$9:$AR$9,0))-SUM(F70:AN70),MAX(0,'Vergi'!AO51-SUM(AO53:AO69))),0)</f>
        <v/>
      </c>
      <c r="AP70" s="18">
        <f>IF(AND('Zaman'!AP9&gt;18,'Zaman'!AP9-18&lt;=5),MIN(INDEX('Vergi'!$F$50:$AR$50,MATCH(18,'Zaman'!$F$9:$AR$9,0))-SUM(F70:AO70),MAX(0,'Vergi'!AP51-SUM(AP53:AP69))),0)</f>
        <v/>
      </c>
      <c r="AQ70" s="18">
        <f>IF(AND('Zaman'!AQ9&gt;18,'Zaman'!AQ9-18&lt;=5),MIN(INDEX('Vergi'!$F$50:$AR$50,MATCH(18,'Zaman'!$F$9:$AR$9,0))-SUM(F70:AP70),MAX(0,'Vergi'!AQ51-SUM(AQ53:AQ69))),0)</f>
        <v/>
      </c>
      <c r="AR70" s="18">
        <f>IF(AND('Zaman'!AR9&gt;18,'Zaman'!AR9-18&lt;=5),MIN(INDEX('Vergi'!$F$50:$AR$50,MATCH(18,'Zaman'!$F$9:$AR$9,0))-SUM(F70:AQ70),MAX(0,'Vergi'!AR51-SUM(AR53:AR69))),0)</f>
        <v/>
      </c>
    </row>
    <row r="71">
      <c r="A71" t="inlineStr">
        <is>
          <t>Zarar yılı 19 — kullanım</t>
        </is>
      </c>
      <c r="B71" t="inlineStr">
        <is>
          <t>USD</t>
        </is>
      </c>
      <c r="F71" s="18">
        <f>IF(AND('Zaman'!F9&gt;19,'Zaman'!F9-19&lt;=5),MIN(INDEX('Vergi'!$F$50:$AR$50,MATCH(19,'Zaman'!$F$9:$AR$9,0))-0,MAX(0,'Vergi'!F51-SUM(F53:F70))),0)</f>
        <v/>
      </c>
      <c r="G71" s="18">
        <f>IF(AND('Zaman'!G9&gt;19,'Zaman'!G9-19&lt;=5),MIN(INDEX('Vergi'!$F$50:$AR$50,MATCH(19,'Zaman'!$F$9:$AR$9,0))-SUM(F71:F71),MAX(0,'Vergi'!G51-SUM(G53:G70))),0)</f>
        <v/>
      </c>
      <c r="H71" s="18">
        <f>IF(AND('Zaman'!H9&gt;19,'Zaman'!H9-19&lt;=5),MIN(INDEX('Vergi'!$F$50:$AR$50,MATCH(19,'Zaman'!$F$9:$AR$9,0))-SUM(F71:G71),MAX(0,'Vergi'!H51-SUM(H53:H70))),0)</f>
        <v/>
      </c>
      <c r="I71" s="18">
        <f>IF(AND('Zaman'!I9&gt;19,'Zaman'!I9-19&lt;=5),MIN(INDEX('Vergi'!$F$50:$AR$50,MATCH(19,'Zaman'!$F$9:$AR$9,0))-SUM(F71:H71),MAX(0,'Vergi'!I51-SUM(I53:I70))),0)</f>
        <v/>
      </c>
      <c r="J71" s="18">
        <f>IF(AND('Zaman'!J9&gt;19,'Zaman'!J9-19&lt;=5),MIN(INDEX('Vergi'!$F$50:$AR$50,MATCH(19,'Zaman'!$F$9:$AR$9,0))-SUM(F71:I71),MAX(0,'Vergi'!J51-SUM(J53:J70))),0)</f>
        <v/>
      </c>
      <c r="K71" s="18">
        <f>IF(AND('Zaman'!K9&gt;19,'Zaman'!K9-19&lt;=5),MIN(INDEX('Vergi'!$F$50:$AR$50,MATCH(19,'Zaman'!$F$9:$AR$9,0))-SUM(F71:J71),MAX(0,'Vergi'!K51-SUM(K53:K70))),0)</f>
        <v/>
      </c>
      <c r="L71" s="18">
        <f>IF(AND('Zaman'!L9&gt;19,'Zaman'!L9-19&lt;=5),MIN(INDEX('Vergi'!$F$50:$AR$50,MATCH(19,'Zaman'!$F$9:$AR$9,0))-SUM(F71:K71),MAX(0,'Vergi'!L51-SUM(L53:L70))),0)</f>
        <v/>
      </c>
      <c r="M71" s="18">
        <f>IF(AND('Zaman'!M9&gt;19,'Zaman'!M9-19&lt;=5),MIN(INDEX('Vergi'!$F$50:$AR$50,MATCH(19,'Zaman'!$F$9:$AR$9,0))-SUM(F71:L71),MAX(0,'Vergi'!M51-SUM(M53:M70))),0)</f>
        <v/>
      </c>
      <c r="N71" s="18">
        <f>IF(AND('Zaman'!N9&gt;19,'Zaman'!N9-19&lt;=5),MIN(INDEX('Vergi'!$F$50:$AR$50,MATCH(19,'Zaman'!$F$9:$AR$9,0))-SUM(F71:M71),MAX(0,'Vergi'!N51-SUM(N53:N70))),0)</f>
        <v/>
      </c>
      <c r="O71" s="18">
        <f>IF(AND('Zaman'!O9&gt;19,'Zaman'!O9-19&lt;=5),MIN(INDEX('Vergi'!$F$50:$AR$50,MATCH(19,'Zaman'!$F$9:$AR$9,0))-SUM(F71:N71),MAX(0,'Vergi'!O51-SUM(O53:O70))),0)</f>
        <v/>
      </c>
      <c r="P71" s="18">
        <f>IF(AND('Zaman'!P9&gt;19,'Zaman'!P9-19&lt;=5),MIN(INDEX('Vergi'!$F$50:$AR$50,MATCH(19,'Zaman'!$F$9:$AR$9,0))-SUM(F71:O71),MAX(0,'Vergi'!P51-SUM(P53:P70))),0)</f>
        <v/>
      </c>
      <c r="Q71" s="18">
        <f>IF(AND('Zaman'!Q9&gt;19,'Zaman'!Q9-19&lt;=5),MIN(INDEX('Vergi'!$F$50:$AR$50,MATCH(19,'Zaman'!$F$9:$AR$9,0))-SUM(F71:P71),MAX(0,'Vergi'!Q51-SUM(Q53:Q70))),0)</f>
        <v/>
      </c>
      <c r="R71" s="18">
        <f>IF(AND('Zaman'!R9&gt;19,'Zaman'!R9-19&lt;=5),MIN(INDEX('Vergi'!$F$50:$AR$50,MATCH(19,'Zaman'!$F$9:$AR$9,0))-SUM(F71:Q71),MAX(0,'Vergi'!R51-SUM(R53:R70))),0)</f>
        <v/>
      </c>
      <c r="S71" s="18">
        <f>IF(AND('Zaman'!S9&gt;19,'Zaman'!S9-19&lt;=5),MIN(INDEX('Vergi'!$F$50:$AR$50,MATCH(19,'Zaman'!$F$9:$AR$9,0))-SUM(F71:R71),MAX(0,'Vergi'!S51-SUM(S53:S70))),0)</f>
        <v/>
      </c>
      <c r="T71" s="18">
        <f>IF(AND('Zaman'!T9&gt;19,'Zaman'!T9-19&lt;=5),MIN(INDEX('Vergi'!$F$50:$AR$50,MATCH(19,'Zaman'!$F$9:$AR$9,0))-SUM(F71:S71),MAX(0,'Vergi'!T51-SUM(T53:T70))),0)</f>
        <v/>
      </c>
      <c r="U71" s="18">
        <f>IF(AND('Zaman'!U9&gt;19,'Zaman'!U9-19&lt;=5),MIN(INDEX('Vergi'!$F$50:$AR$50,MATCH(19,'Zaman'!$F$9:$AR$9,0))-SUM(F71:T71),MAX(0,'Vergi'!U51-SUM(U53:U70))),0)</f>
        <v/>
      </c>
      <c r="V71" s="18">
        <f>IF(AND('Zaman'!V9&gt;19,'Zaman'!V9-19&lt;=5),MIN(INDEX('Vergi'!$F$50:$AR$50,MATCH(19,'Zaman'!$F$9:$AR$9,0))-SUM(F71:U71),MAX(0,'Vergi'!V51-SUM(V53:V70))),0)</f>
        <v/>
      </c>
      <c r="W71" s="18">
        <f>IF(AND('Zaman'!W9&gt;19,'Zaman'!W9-19&lt;=5),MIN(INDEX('Vergi'!$F$50:$AR$50,MATCH(19,'Zaman'!$F$9:$AR$9,0))-SUM(F71:V71),MAX(0,'Vergi'!W51-SUM(W53:W70))),0)</f>
        <v/>
      </c>
      <c r="X71" s="18">
        <f>IF(AND('Zaman'!X9&gt;19,'Zaman'!X9-19&lt;=5),MIN(INDEX('Vergi'!$F$50:$AR$50,MATCH(19,'Zaman'!$F$9:$AR$9,0))-SUM(F71:W71),MAX(0,'Vergi'!X51-SUM(X53:X70))),0)</f>
        <v/>
      </c>
      <c r="Y71" s="18">
        <f>IF(AND('Zaman'!Y9&gt;19,'Zaman'!Y9-19&lt;=5),MIN(INDEX('Vergi'!$F$50:$AR$50,MATCH(19,'Zaman'!$F$9:$AR$9,0))-SUM(F71:X71),MAX(0,'Vergi'!Y51-SUM(Y53:Y70))),0)</f>
        <v/>
      </c>
      <c r="Z71" s="18">
        <f>IF(AND('Zaman'!Z9&gt;19,'Zaman'!Z9-19&lt;=5),MIN(INDEX('Vergi'!$F$50:$AR$50,MATCH(19,'Zaman'!$F$9:$AR$9,0))-SUM(F71:Y71),MAX(0,'Vergi'!Z51-SUM(Z53:Z70))),0)</f>
        <v/>
      </c>
      <c r="AA71" s="18">
        <f>IF(AND('Zaman'!AA9&gt;19,'Zaman'!AA9-19&lt;=5),MIN(INDEX('Vergi'!$F$50:$AR$50,MATCH(19,'Zaman'!$F$9:$AR$9,0))-SUM(F71:Z71),MAX(0,'Vergi'!AA51-SUM(AA53:AA70))),0)</f>
        <v/>
      </c>
      <c r="AB71" s="18">
        <f>IF(AND('Zaman'!AB9&gt;19,'Zaman'!AB9-19&lt;=5),MIN(INDEX('Vergi'!$F$50:$AR$50,MATCH(19,'Zaman'!$F$9:$AR$9,0))-SUM(F71:AA71),MAX(0,'Vergi'!AB51-SUM(AB53:AB70))),0)</f>
        <v/>
      </c>
      <c r="AC71" s="18">
        <f>IF(AND('Zaman'!AC9&gt;19,'Zaman'!AC9-19&lt;=5),MIN(INDEX('Vergi'!$F$50:$AR$50,MATCH(19,'Zaman'!$F$9:$AR$9,0))-SUM(F71:AB71),MAX(0,'Vergi'!AC51-SUM(AC53:AC70))),0)</f>
        <v/>
      </c>
      <c r="AD71" s="18">
        <f>IF(AND('Zaman'!AD9&gt;19,'Zaman'!AD9-19&lt;=5),MIN(INDEX('Vergi'!$F$50:$AR$50,MATCH(19,'Zaman'!$F$9:$AR$9,0))-SUM(F71:AC71),MAX(0,'Vergi'!AD51-SUM(AD53:AD70))),0)</f>
        <v/>
      </c>
      <c r="AE71" s="18">
        <f>IF(AND('Zaman'!AE9&gt;19,'Zaman'!AE9-19&lt;=5),MIN(INDEX('Vergi'!$F$50:$AR$50,MATCH(19,'Zaman'!$F$9:$AR$9,0))-SUM(F71:AD71),MAX(0,'Vergi'!AE51-SUM(AE53:AE70))),0)</f>
        <v/>
      </c>
      <c r="AF71" s="18">
        <f>IF(AND('Zaman'!AF9&gt;19,'Zaman'!AF9-19&lt;=5),MIN(INDEX('Vergi'!$F$50:$AR$50,MATCH(19,'Zaman'!$F$9:$AR$9,0))-SUM(F71:AE71),MAX(0,'Vergi'!AF51-SUM(AF53:AF70))),0)</f>
        <v/>
      </c>
      <c r="AG71" s="18">
        <f>IF(AND('Zaman'!AG9&gt;19,'Zaman'!AG9-19&lt;=5),MIN(INDEX('Vergi'!$F$50:$AR$50,MATCH(19,'Zaman'!$F$9:$AR$9,0))-SUM(F71:AF71),MAX(0,'Vergi'!AG51-SUM(AG53:AG70))),0)</f>
        <v/>
      </c>
      <c r="AH71" s="18">
        <f>IF(AND('Zaman'!AH9&gt;19,'Zaman'!AH9-19&lt;=5),MIN(INDEX('Vergi'!$F$50:$AR$50,MATCH(19,'Zaman'!$F$9:$AR$9,0))-SUM(F71:AG71),MAX(0,'Vergi'!AH51-SUM(AH53:AH70))),0)</f>
        <v/>
      </c>
      <c r="AI71" s="18">
        <f>IF(AND('Zaman'!AI9&gt;19,'Zaman'!AI9-19&lt;=5),MIN(INDEX('Vergi'!$F$50:$AR$50,MATCH(19,'Zaman'!$F$9:$AR$9,0))-SUM(F71:AH71),MAX(0,'Vergi'!AI51-SUM(AI53:AI70))),0)</f>
        <v/>
      </c>
      <c r="AJ71" s="18">
        <f>IF(AND('Zaman'!AJ9&gt;19,'Zaman'!AJ9-19&lt;=5),MIN(INDEX('Vergi'!$F$50:$AR$50,MATCH(19,'Zaman'!$F$9:$AR$9,0))-SUM(F71:AI71),MAX(0,'Vergi'!AJ51-SUM(AJ53:AJ70))),0)</f>
        <v/>
      </c>
      <c r="AK71" s="18">
        <f>IF(AND('Zaman'!AK9&gt;19,'Zaman'!AK9-19&lt;=5),MIN(INDEX('Vergi'!$F$50:$AR$50,MATCH(19,'Zaman'!$F$9:$AR$9,0))-SUM(F71:AJ71),MAX(0,'Vergi'!AK51-SUM(AK53:AK70))),0)</f>
        <v/>
      </c>
      <c r="AL71" s="18">
        <f>IF(AND('Zaman'!AL9&gt;19,'Zaman'!AL9-19&lt;=5),MIN(INDEX('Vergi'!$F$50:$AR$50,MATCH(19,'Zaman'!$F$9:$AR$9,0))-SUM(F71:AK71),MAX(0,'Vergi'!AL51-SUM(AL53:AL70))),0)</f>
        <v/>
      </c>
      <c r="AM71" s="18">
        <f>IF(AND('Zaman'!AM9&gt;19,'Zaman'!AM9-19&lt;=5),MIN(INDEX('Vergi'!$F$50:$AR$50,MATCH(19,'Zaman'!$F$9:$AR$9,0))-SUM(F71:AL71),MAX(0,'Vergi'!AM51-SUM(AM53:AM70))),0)</f>
        <v/>
      </c>
      <c r="AN71" s="18">
        <f>IF(AND('Zaman'!AN9&gt;19,'Zaman'!AN9-19&lt;=5),MIN(INDEX('Vergi'!$F$50:$AR$50,MATCH(19,'Zaman'!$F$9:$AR$9,0))-SUM(F71:AM71),MAX(0,'Vergi'!AN51-SUM(AN53:AN70))),0)</f>
        <v/>
      </c>
      <c r="AO71" s="18">
        <f>IF(AND('Zaman'!AO9&gt;19,'Zaman'!AO9-19&lt;=5),MIN(INDEX('Vergi'!$F$50:$AR$50,MATCH(19,'Zaman'!$F$9:$AR$9,0))-SUM(F71:AN71),MAX(0,'Vergi'!AO51-SUM(AO53:AO70))),0)</f>
        <v/>
      </c>
      <c r="AP71" s="18">
        <f>IF(AND('Zaman'!AP9&gt;19,'Zaman'!AP9-19&lt;=5),MIN(INDEX('Vergi'!$F$50:$AR$50,MATCH(19,'Zaman'!$F$9:$AR$9,0))-SUM(F71:AO71),MAX(0,'Vergi'!AP51-SUM(AP53:AP70))),0)</f>
        <v/>
      </c>
      <c r="AQ71" s="18">
        <f>IF(AND('Zaman'!AQ9&gt;19,'Zaman'!AQ9-19&lt;=5),MIN(INDEX('Vergi'!$F$50:$AR$50,MATCH(19,'Zaman'!$F$9:$AR$9,0))-SUM(F71:AP71),MAX(0,'Vergi'!AQ51-SUM(AQ53:AQ70))),0)</f>
        <v/>
      </c>
      <c r="AR71" s="18">
        <f>IF(AND('Zaman'!AR9&gt;19,'Zaman'!AR9-19&lt;=5),MIN(INDEX('Vergi'!$F$50:$AR$50,MATCH(19,'Zaman'!$F$9:$AR$9,0))-SUM(F71:AQ71),MAX(0,'Vergi'!AR51-SUM(AR53:AR70))),0)</f>
        <v/>
      </c>
    </row>
    <row r="72">
      <c r="A72" t="inlineStr">
        <is>
          <t>Zarar yılı 20 — kullanım</t>
        </is>
      </c>
      <c r="B72" t="inlineStr">
        <is>
          <t>USD</t>
        </is>
      </c>
      <c r="F72" s="18">
        <f>IF(AND('Zaman'!F9&gt;20,'Zaman'!F9-20&lt;=5),MIN(INDEX('Vergi'!$F$50:$AR$50,MATCH(20,'Zaman'!$F$9:$AR$9,0))-0,MAX(0,'Vergi'!F51-SUM(F53:F71))),0)</f>
        <v/>
      </c>
      <c r="G72" s="18">
        <f>IF(AND('Zaman'!G9&gt;20,'Zaman'!G9-20&lt;=5),MIN(INDEX('Vergi'!$F$50:$AR$50,MATCH(20,'Zaman'!$F$9:$AR$9,0))-SUM(F72:F72),MAX(0,'Vergi'!G51-SUM(G53:G71))),0)</f>
        <v/>
      </c>
      <c r="H72" s="18">
        <f>IF(AND('Zaman'!H9&gt;20,'Zaman'!H9-20&lt;=5),MIN(INDEX('Vergi'!$F$50:$AR$50,MATCH(20,'Zaman'!$F$9:$AR$9,0))-SUM(F72:G72),MAX(0,'Vergi'!H51-SUM(H53:H71))),0)</f>
        <v/>
      </c>
      <c r="I72" s="18">
        <f>IF(AND('Zaman'!I9&gt;20,'Zaman'!I9-20&lt;=5),MIN(INDEX('Vergi'!$F$50:$AR$50,MATCH(20,'Zaman'!$F$9:$AR$9,0))-SUM(F72:H72),MAX(0,'Vergi'!I51-SUM(I53:I71))),0)</f>
        <v/>
      </c>
      <c r="J72" s="18">
        <f>IF(AND('Zaman'!J9&gt;20,'Zaman'!J9-20&lt;=5),MIN(INDEX('Vergi'!$F$50:$AR$50,MATCH(20,'Zaman'!$F$9:$AR$9,0))-SUM(F72:I72),MAX(0,'Vergi'!J51-SUM(J53:J71))),0)</f>
        <v/>
      </c>
      <c r="K72" s="18">
        <f>IF(AND('Zaman'!K9&gt;20,'Zaman'!K9-20&lt;=5),MIN(INDEX('Vergi'!$F$50:$AR$50,MATCH(20,'Zaman'!$F$9:$AR$9,0))-SUM(F72:J72),MAX(0,'Vergi'!K51-SUM(K53:K71))),0)</f>
        <v/>
      </c>
      <c r="L72" s="18">
        <f>IF(AND('Zaman'!L9&gt;20,'Zaman'!L9-20&lt;=5),MIN(INDEX('Vergi'!$F$50:$AR$50,MATCH(20,'Zaman'!$F$9:$AR$9,0))-SUM(F72:K72),MAX(0,'Vergi'!L51-SUM(L53:L71))),0)</f>
        <v/>
      </c>
      <c r="M72" s="18">
        <f>IF(AND('Zaman'!M9&gt;20,'Zaman'!M9-20&lt;=5),MIN(INDEX('Vergi'!$F$50:$AR$50,MATCH(20,'Zaman'!$F$9:$AR$9,0))-SUM(F72:L72),MAX(0,'Vergi'!M51-SUM(M53:M71))),0)</f>
        <v/>
      </c>
      <c r="N72" s="18">
        <f>IF(AND('Zaman'!N9&gt;20,'Zaman'!N9-20&lt;=5),MIN(INDEX('Vergi'!$F$50:$AR$50,MATCH(20,'Zaman'!$F$9:$AR$9,0))-SUM(F72:M72),MAX(0,'Vergi'!N51-SUM(N53:N71))),0)</f>
        <v/>
      </c>
      <c r="O72" s="18">
        <f>IF(AND('Zaman'!O9&gt;20,'Zaman'!O9-20&lt;=5),MIN(INDEX('Vergi'!$F$50:$AR$50,MATCH(20,'Zaman'!$F$9:$AR$9,0))-SUM(F72:N72),MAX(0,'Vergi'!O51-SUM(O53:O71))),0)</f>
        <v/>
      </c>
      <c r="P72" s="18">
        <f>IF(AND('Zaman'!P9&gt;20,'Zaman'!P9-20&lt;=5),MIN(INDEX('Vergi'!$F$50:$AR$50,MATCH(20,'Zaman'!$F$9:$AR$9,0))-SUM(F72:O72),MAX(0,'Vergi'!P51-SUM(P53:P71))),0)</f>
        <v/>
      </c>
      <c r="Q72" s="18">
        <f>IF(AND('Zaman'!Q9&gt;20,'Zaman'!Q9-20&lt;=5),MIN(INDEX('Vergi'!$F$50:$AR$50,MATCH(20,'Zaman'!$F$9:$AR$9,0))-SUM(F72:P72),MAX(0,'Vergi'!Q51-SUM(Q53:Q71))),0)</f>
        <v/>
      </c>
      <c r="R72" s="18">
        <f>IF(AND('Zaman'!R9&gt;20,'Zaman'!R9-20&lt;=5),MIN(INDEX('Vergi'!$F$50:$AR$50,MATCH(20,'Zaman'!$F$9:$AR$9,0))-SUM(F72:Q72),MAX(0,'Vergi'!R51-SUM(R53:R71))),0)</f>
        <v/>
      </c>
      <c r="S72" s="18">
        <f>IF(AND('Zaman'!S9&gt;20,'Zaman'!S9-20&lt;=5),MIN(INDEX('Vergi'!$F$50:$AR$50,MATCH(20,'Zaman'!$F$9:$AR$9,0))-SUM(F72:R72),MAX(0,'Vergi'!S51-SUM(S53:S71))),0)</f>
        <v/>
      </c>
      <c r="T72" s="18">
        <f>IF(AND('Zaman'!T9&gt;20,'Zaman'!T9-20&lt;=5),MIN(INDEX('Vergi'!$F$50:$AR$50,MATCH(20,'Zaman'!$F$9:$AR$9,0))-SUM(F72:S72),MAX(0,'Vergi'!T51-SUM(T53:T71))),0)</f>
        <v/>
      </c>
      <c r="U72" s="18">
        <f>IF(AND('Zaman'!U9&gt;20,'Zaman'!U9-20&lt;=5),MIN(INDEX('Vergi'!$F$50:$AR$50,MATCH(20,'Zaman'!$F$9:$AR$9,0))-SUM(F72:T72),MAX(0,'Vergi'!U51-SUM(U53:U71))),0)</f>
        <v/>
      </c>
      <c r="V72" s="18">
        <f>IF(AND('Zaman'!V9&gt;20,'Zaman'!V9-20&lt;=5),MIN(INDEX('Vergi'!$F$50:$AR$50,MATCH(20,'Zaman'!$F$9:$AR$9,0))-SUM(F72:U72),MAX(0,'Vergi'!V51-SUM(V53:V71))),0)</f>
        <v/>
      </c>
      <c r="W72" s="18">
        <f>IF(AND('Zaman'!W9&gt;20,'Zaman'!W9-20&lt;=5),MIN(INDEX('Vergi'!$F$50:$AR$50,MATCH(20,'Zaman'!$F$9:$AR$9,0))-SUM(F72:V72),MAX(0,'Vergi'!W51-SUM(W53:W71))),0)</f>
        <v/>
      </c>
      <c r="X72" s="18">
        <f>IF(AND('Zaman'!X9&gt;20,'Zaman'!X9-20&lt;=5),MIN(INDEX('Vergi'!$F$50:$AR$50,MATCH(20,'Zaman'!$F$9:$AR$9,0))-SUM(F72:W72),MAX(0,'Vergi'!X51-SUM(X53:X71))),0)</f>
        <v/>
      </c>
      <c r="Y72" s="18">
        <f>IF(AND('Zaman'!Y9&gt;20,'Zaman'!Y9-20&lt;=5),MIN(INDEX('Vergi'!$F$50:$AR$50,MATCH(20,'Zaman'!$F$9:$AR$9,0))-SUM(F72:X72),MAX(0,'Vergi'!Y51-SUM(Y53:Y71))),0)</f>
        <v/>
      </c>
      <c r="Z72" s="18">
        <f>IF(AND('Zaman'!Z9&gt;20,'Zaman'!Z9-20&lt;=5),MIN(INDEX('Vergi'!$F$50:$AR$50,MATCH(20,'Zaman'!$F$9:$AR$9,0))-SUM(F72:Y72),MAX(0,'Vergi'!Z51-SUM(Z53:Z71))),0)</f>
        <v/>
      </c>
      <c r="AA72" s="18">
        <f>IF(AND('Zaman'!AA9&gt;20,'Zaman'!AA9-20&lt;=5),MIN(INDEX('Vergi'!$F$50:$AR$50,MATCH(20,'Zaman'!$F$9:$AR$9,0))-SUM(F72:Z72),MAX(0,'Vergi'!AA51-SUM(AA53:AA71))),0)</f>
        <v/>
      </c>
      <c r="AB72" s="18">
        <f>IF(AND('Zaman'!AB9&gt;20,'Zaman'!AB9-20&lt;=5),MIN(INDEX('Vergi'!$F$50:$AR$50,MATCH(20,'Zaman'!$F$9:$AR$9,0))-SUM(F72:AA72),MAX(0,'Vergi'!AB51-SUM(AB53:AB71))),0)</f>
        <v/>
      </c>
      <c r="AC72" s="18">
        <f>IF(AND('Zaman'!AC9&gt;20,'Zaman'!AC9-20&lt;=5),MIN(INDEX('Vergi'!$F$50:$AR$50,MATCH(20,'Zaman'!$F$9:$AR$9,0))-SUM(F72:AB72),MAX(0,'Vergi'!AC51-SUM(AC53:AC71))),0)</f>
        <v/>
      </c>
      <c r="AD72" s="18">
        <f>IF(AND('Zaman'!AD9&gt;20,'Zaman'!AD9-20&lt;=5),MIN(INDEX('Vergi'!$F$50:$AR$50,MATCH(20,'Zaman'!$F$9:$AR$9,0))-SUM(F72:AC72),MAX(0,'Vergi'!AD51-SUM(AD53:AD71))),0)</f>
        <v/>
      </c>
      <c r="AE72" s="18">
        <f>IF(AND('Zaman'!AE9&gt;20,'Zaman'!AE9-20&lt;=5),MIN(INDEX('Vergi'!$F$50:$AR$50,MATCH(20,'Zaman'!$F$9:$AR$9,0))-SUM(F72:AD72),MAX(0,'Vergi'!AE51-SUM(AE53:AE71))),0)</f>
        <v/>
      </c>
      <c r="AF72" s="18">
        <f>IF(AND('Zaman'!AF9&gt;20,'Zaman'!AF9-20&lt;=5),MIN(INDEX('Vergi'!$F$50:$AR$50,MATCH(20,'Zaman'!$F$9:$AR$9,0))-SUM(F72:AE72),MAX(0,'Vergi'!AF51-SUM(AF53:AF71))),0)</f>
        <v/>
      </c>
      <c r="AG72" s="18">
        <f>IF(AND('Zaman'!AG9&gt;20,'Zaman'!AG9-20&lt;=5),MIN(INDEX('Vergi'!$F$50:$AR$50,MATCH(20,'Zaman'!$F$9:$AR$9,0))-SUM(F72:AF72),MAX(0,'Vergi'!AG51-SUM(AG53:AG71))),0)</f>
        <v/>
      </c>
      <c r="AH72" s="18">
        <f>IF(AND('Zaman'!AH9&gt;20,'Zaman'!AH9-20&lt;=5),MIN(INDEX('Vergi'!$F$50:$AR$50,MATCH(20,'Zaman'!$F$9:$AR$9,0))-SUM(F72:AG72),MAX(0,'Vergi'!AH51-SUM(AH53:AH71))),0)</f>
        <v/>
      </c>
      <c r="AI72" s="18">
        <f>IF(AND('Zaman'!AI9&gt;20,'Zaman'!AI9-20&lt;=5),MIN(INDEX('Vergi'!$F$50:$AR$50,MATCH(20,'Zaman'!$F$9:$AR$9,0))-SUM(F72:AH72),MAX(0,'Vergi'!AI51-SUM(AI53:AI71))),0)</f>
        <v/>
      </c>
      <c r="AJ72" s="18">
        <f>IF(AND('Zaman'!AJ9&gt;20,'Zaman'!AJ9-20&lt;=5),MIN(INDEX('Vergi'!$F$50:$AR$50,MATCH(20,'Zaman'!$F$9:$AR$9,0))-SUM(F72:AI72),MAX(0,'Vergi'!AJ51-SUM(AJ53:AJ71))),0)</f>
        <v/>
      </c>
      <c r="AK72" s="18">
        <f>IF(AND('Zaman'!AK9&gt;20,'Zaman'!AK9-20&lt;=5),MIN(INDEX('Vergi'!$F$50:$AR$50,MATCH(20,'Zaman'!$F$9:$AR$9,0))-SUM(F72:AJ72),MAX(0,'Vergi'!AK51-SUM(AK53:AK71))),0)</f>
        <v/>
      </c>
      <c r="AL72" s="18">
        <f>IF(AND('Zaman'!AL9&gt;20,'Zaman'!AL9-20&lt;=5),MIN(INDEX('Vergi'!$F$50:$AR$50,MATCH(20,'Zaman'!$F$9:$AR$9,0))-SUM(F72:AK72),MAX(0,'Vergi'!AL51-SUM(AL53:AL71))),0)</f>
        <v/>
      </c>
      <c r="AM72" s="18">
        <f>IF(AND('Zaman'!AM9&gt;20,'Zaman'!AM9-20&lt;=5),MIN(INDEX('Vergi'!$F$50:$AR$50,MATCH(20,'Zaman'!$F$9:$AR$9,0))-SUM(F72:AL72),MAX(0,'Vergi'!AM51-SUM(AM53:AM71))),0)</f>
        <v/>
      </c>
      <c r="AN72" s="18">
        <f>IF(AND('Zaman'!AN9&gt;20,'Zaman'!AN9-20&lt;=5),MIN(INDEX('Vergi'!$F$50:$AR$50,MATCH(20,'Zaman'!$F$9:$AR$9,0))-SUM(F72:AM72),MAX(0,'Vergi'!AN51-SUM(AN53:AN71))),0)</f>
        <v/>
      </c>
      <c r="AO72" s="18">
        <f>IF(AND('Zaman'!AO9&gt;20,'Zaman'!AO9-20&lt;=5),MIN(INDEX('Vergi'!$F$50:$AR$50,MATCH(20,'Zaman'!$F$9:$AR$9,0))-SUM(F72:AN72),MAX(0,'Vergi'!AO51-SUM(AO53:AO71))),0)</f>
        <v/>
      </c>
      <c r="AP72" s="18">
        <f>IF(AND('Zaman'!AP9&gt;20,'Zaman'!AP9-20&lt;=5),MIN(INDEX('Vergi'!$F$50:$AR$50,MATCH(20,'Zaman'!$F$9:$AR$9,0))-SUM(F72:AO72),MAX(0,'Vergi'!AP51-SUM(AP53:AP71))),0)</f>
        <v/>
      </c>
      <c r="AQ72" s="18">
        <f>IF(AND('Zaman'!AQ9&gt;20,'Zaman'!AQ9-20&lt;=5),MIN(INDEX('Vergi'!$F$50:$AR$50,MATCH(20,'Zaman'!$F$9:$AR$9,0))-SUM(F72:AP72),MAX(0,'Vergi'!AQ51-SUM(AQ53:AQ71))),0)</f>
        <v/>
      </c>
      <c r="AR72" s="18">
        <f>IF(AND('Zaman'!AR9&gt;20,'Zaman'!AR9-20&lt;=5),MIN(INDEX('Vergi'!$F$50:$AR$50,MATCH(20,'Zaman'!$F$9:$AR$9,0))-SUM(F72:AQ72),MAX(0,'Vergi'!AR51-SUM(AR53:AR71))),0)</f>
        <v/>
      </c>
    </row>
    <row r="73">
      <c r="A73" t="inlineStr">
        <is>
          <t>Zarar yılı 21 — kullanım</t>
        </is>
      </c>
      <c r="B73" t="inlineStr">
        <is>
          <t>USD</t>
        </is>
      </c>
      <c r="F73" s="18">
        <f>IF(AND('Zaman'!F9&gt;21,'Zaman'!F9-21&lt;=5),MIN(INDEX('Vergi'!$F$50:$AR$50,MATCH(21,'Zaman'!$F$9:$AR$9,0))-0,MAX(0,'Vergi'!F51-SUM(F53:F72))),0)</f>
        <v/>
      </c>
      <c r="G73" s="18">
        <f>IF(AND('Zaman'!G9&gt;21,'Zaman'!G9-21&lt;=5),MIN(INDEX('Vergi'!$F$50:$AR$50,MATCH(21,'Zaman'!$F$9:$AR$9,0))-SUM(F73:F73),MAX(0,'Vergi'!G51-SUM(G53:G72))),0)</f>
        <v/>
      </c>
      <c r="H73" s="18">
        <f>IF(AND('Zaman'!H9&gt;21,'Zaman'!H9-21&lt;=5),MIN(INDEX('Vergi'!$F$50:$AR$50,MATCH(21,'Zaman'!$F$9:$AR$9,0))-SUM(F73:G73),MAX(0,'Vergi'!H51-SUM(H53:H72))),0)</f>
        <v/>
      </c>
      <c r="I73" s="18">
        <f>IF(AND('Zaman'!I9&gt;21,'Zaman'!I9-21&lt;=5),MIN(INDEX('Vergi'!$F$50:$AR$50,MATCH(21,'Zaman'!$F$9:$AR$9,0))-SUM(F73:H73),MAX(0,'Vergi'!I51-SUM(I53:I72))),0)</f>
        <v/>
      </c>
      <c r="J73" s="18">
        <f>IF(AND('Zaman'!J9&gt;21,'Zaman'!J9-21&lt;=5),MIN(INDEX('Vergi'!$F$50:$AR$50,MATCH(21,'Zaman'!$F$9:$AR$9,0))-SUM(F73:I73),MAX(0,'Vergi'!J51-SUM(J53:J72))),0)</f>
        <v/>
      </c>
      <c r="K73" s="18">
        <f>IF(AND('Zaman'!K9&gt;21,'Zaman'!K9-21&lt;=5),MIN(INDEX('Vergi'!$F$50:$AR$50,MATCH(21,'Zaman'!$F$9:$AR$9,0))-SUM(F73:J73),MAX(0,'Vergi'!K51-SUM(K53:K72))),0)</f>
        <v/>
      </c>
      <c r="L73" s="18">
        <f>IF(AND('Zaman'!L9&gt;21,'Zaman'!L9-21&lt;=5),MIN(INDEX('Vergi'!$F$50:$AR$50,MATCH(21,'Zaman'!$F$9:$AR$9,0))-SUM(F73:K73),MAX(0,'Vergi'!L51-SUM(L53:L72))),0)</f>
        <v/>
      </c>
      <c r="M73" s="18">
        <f>IF(AND('Zaman'!M9&gt;21,'Zaman'!M9-21&lt;=5),MIN(INDEX('Vergi'!$F$50:$AR$50,MATCH(21,'Zaman'!$F$9:$AR$9,0))-SUM(F73:L73),MAX(0,'Vergi'!M51-SUM(M53:M72))),0)</f>
        <v/>
      </c>
      <c r="N73" s="18">
        <f>IF(AND('Zaman'!N9&gt;21,'Zaman'!N9-21&lt;=5),MIN(INDEX('Vergi'!$F$50:$AR$50,MATCH(21,'Zaman'!$F$9:$AR$9,0))-SUM(F73:M73),MAX(0,'Vergi'!N51-SUM(N53:N72))),0)</f>
        <v/>
      </c>
      <c r="O73" s="18">
        <f>IF(AND('Zaman'!O9&gt;21,'Zaman'!O9-21&lt;=5),MIN(INDEX('Vergi'!$F$50:$AR$50,MATCH(21,'Zaman'!$F$9:$AR$9,0))-SUM(F73:N73),MAX(0,'Vergi'!O51-SUM(O53:O72))),0)</f>
        <v/>
      </c>
      <c r="P73" s="18">
        <f>IF(AND('Zaman'!P9&gt;21,'Zaman'!P9-21&lt;=5),MIN(INDEX('Vergi'!$F$50:$AR$50,MATCH(21,'Zaman'!$F$9:$AR$9,0))-SUM(F73:O73),MAX(0,'Vergi'!P51-SUM(P53:P72))),0)</f>
        <v/>
      </c>
      <c r="Q73" s="18">
        <f>IF(AND('Zaman'!Q9&gt;21,'Zaman'!Q9-21&lt;=5),MIN(INDEX('Vergi'!$F$50:$AR$50,MATCH(21,'Zaman'!$F$9:$AR$9,0))-SUM(F73:P73),MAX(0,'Vergi'!Q51-SUM(Q53:Q72))),0)</f>
        <v/>
      </c>
      <c r="R73" s="18">
        <f>IF(AND('Zaman'!R9&gt;21,'Zaman'!R9-21&lt;=5),MIN(INDEX('Vergi'!$F$50:$AR$50,MATCH(21,'Zaman'!$F$9:$AR$9,0))-SUM(F73:Q73),MAX(0,'Vergi'!R51-SUM(R53:R72))),0)</f>
        <v/>
      </c>
      <c r="S73" s="18">
        <f>IF(AND('Zaman'!S9&gt;21,'Zaman'!S9-21&lt;=5),MIN(INDEX('Vergi'!$F$50:$AR$50,MATCH(21,'Zaman'!$F$9:$AR$9,0))-SUM(F73:R73),MAX(0,'Vergi'!S51-SUM(S53:S72))),0)</f>
        <v/>
      </c>
      <c r="T73" s="18">
        <f>IF(AND('Zaman'!T9&gt;21,'Zaman'!T9-21&lt;=5),MIN(INDEX('Vergi'!$F$50:$AR$50,MATCH(21,'Zaman'!$F$9:$AR$9,0))-SUM(F73:S73),MAX(0,'Vergi'!T51-SUM(T53:T72))),0)</f>
        <v/>
      </c>
      <c r="U73" s="18">
        <f>IF(AND('Zaman'!U9&gt;21,'Zaman'!U9-21&lt;=5),MIN(INDEX('Vergi'!$F$50:$AR$50,MATCH(21,'Zaman'!$F$9:$AR$9,0))-SUM(F73:T73),MAX(0,'Vergi'!U51-SUM(U53:U72))),0)</f>
        <v/>
      </c>
      <c r="V73" s="18">
        <f>IF(AND('Zaman'!V9&gt;21,'Zaman'!V9-21&lt;=5),MIN(INDEX('Vergi'!$F$50:$AR$50,MATCH(21,'Zaman'!$F$9:$AR$9,0))-SUM(F73:U73),MAX(0,'Vergi'!V51-SUM(V53:V72))),0)</f>
        <v/>
      </c>
      <c r="W73" s="18">
        <f>IF(AND('Zaman'!W9&gt;21,'Zaman'!W9-21&lt;=5),MIN(INDEX('Vergi'!$F$50:$AR$50,MATCH(21,'Zaman'!$F$9:$AR$9,0))-SUM(F73:V73),MAX(0,'Vergi'!W51-SUM(W53:W72))),0)</f>
        <v/>
      </c>
      <c r="X73" s="18">
        <f>IF(AND('Zaman'!X9&gt;21,'Zaman'!X9-21&lt;=5),MIN(INDEX('Vergi'!$F$50:$AR$50,MATCH(21,'Zaman'!$F$9:$AR$9,0))-SUM(F73:W73),MAX(0,'Vergi'!X51-SUM(X53:X72))),0)</f>
        <v/>
      </c>
      <c r="Y73" s="18">
        <f>IF(AND('Zaman'!Y9&gt;21,'Zaman'!Y9-21&lt;=5),MIN(INDEX('Vergi'!$F$50:$AR$50,MATCH(21,'Zaman'!$F$9:$AR$9,0))-SUM(F73:X73),MAX(0,'Vergi'!Y51-SUM(Y53:Y72))),0)</f>
        <v/>
      </c>
      <c r="Z73" s="18">
        <f>IF(AND('Zaman'!Z9&gt;21,'Zaman'!Z9-21&lt;=5),MIN(INDEX('Vergi'!$F$50:$AR$50,MATCH(21,'Zaman'!$F$9:$AR$9,0))-SUM(F73:Y73),MAX(0,'Vergi'!Z51-SUM(Z53:Z72))),0)</f>
        <v/>
      </c>
      <c r="AA73" s="18">
        <f>IF(AND('Zaman'!AA9&gt;21,'Zaman'!AA9-21&lt;=5),MIN(INDEX('Vergi'!$F$50:$AR$50,MATCH(21,'Zaman'!$F$9:$AR$9,0))-SUM(F73:Z73),MAX(0,'Vergi'!AA51-SUM(AA53:AA72))),0)</f>
        <v/>
      </c>
      <c r="AB73" s="18">
        <f>IF(AND('Zaman'!AB9&gt;21,'Zaman'!AB9-21&lt;=5),MIN(INDEX('Vergi'!$F$50:$AR$50,MATCH(21,'Zaman'!$F$9:$AR$9,0))-SUM(F73:AA73),MAX(0,'Vergi'!AB51-SUM(AB53:AB72))),0)</f>
        <v/>
      </c>
      <c r="AC73" s="18">
        <f>IF(AND('Zaman'!AC9&gt;21,'Zaman'!AC9-21&lt;=5),MIN(INDEX('Vergi'!$F$50:$AR$50,MATCH(21,'Zaman'!$F$9:$AR$9,0))-SUM(F73:AB73),MAX(0,'Vergi'!AC51-SUM(AC53:AC72))),0)</f>
        <v/>
      </c>
      <c r="AD73" s="18">
        <f>IF(AND('Zaman'!AD9&gt;21,'Zaman'!AD9-21&lt;=5),MIN(INDEX('Vergi'!$F$50:$AR$50,MATCH(21,'Zaman'!$F$9:$AR$9,0))-SUM(F73:AC73),MAX(0,'Vergi'!AD51-SUM(AD53:AD72))),0)</f>
        <v/>
      </c>
      <c r="AE73" s="18">
        <f>IF(AND('Zaman'!AE9&gt;21,'Zaman'!AE9-21&lt;=5),MIN(INDEX('Vergi'!$F$50:$AR$50,MATCH(21,'Zaman'!$F$9:$AR$9,0))-SUM(F73:AD73),MAX(0,'Vergi'!AE51-SUM(AE53:AE72))),0)</f>
        <v/>
      </c>
      <c r="AF73" s="18">
        <f>IF(AND('Zaman'!AF9&gt;21,'Zaman'!AF9-21&lt;=5),MIN(INDEX('Vergi'!$F$50:$AR$50,MATCH(21,'Zaman'!$F$9:$AR$9,0))-SUM(F73:AE73),MAX(0,'Vergi'!AF51-SUM(AF53:AF72))),0)</f>
        <v/>
      </c>
      <c r="AG73" s="18">
        <f>IF(AND('Zaman'!AG9&gt;21,'Zaman'!AG9-21&lt;=5),MIN(INDEX('Vergi'!$F$50:$AR$50,MATCH(21,'Zaman'!$F$9:$AR$9,0))-SUM(F73:AF73),MAX(0,'Vergi'!AG51-SUM(AG53:AG72))),0)</f>
        <v/>
      </c>
      <c r="AH73" s="18">
        <f>IF(AND('Zaman'!AH9&gt;21,'Zaman'!AH9-21&lt;=5),MIN(INDEX('Vergi'!$F$50:$AR$50,MATCH(21,'Zaman'!$F$9:$AR$9,0))-SUM(F73:AG73),MAX(0,'Vergi'!AH51-SUM(AH53:AH72))),0)</f>
        <v/>
      </c>
      <c r="AI73" s="18">
        <f>IF(AND('Zaman'!AI9&gt;21,'Zaman'!AI9-21&lt;=5),MIN(INDEX('Vergi'!$F$50:$AR$50,MATCH(21,'Zaman'!$F$9:$AR$9,0))-SUM(F73:AH73),MAX(0,'Vergi'!AI51-SUM(AI53:AI72))),0)</f>
        <v/>
      </c>
      <c r="AJ73" s="18">
        <f>IF(AND('Zaman'!AJ9&gt;21,'Zaman'!AJ9-21&lt;=5),MIN(INDEX('Vergi'!$F$50:$AR$50,MATCH(21,'Zaman'!$F$9:$AR$9,0))-SUM(F73:AI73),MAX(0,'Vergi'!AJ51-SUM(AJ53:AJ72))),0)</f>
        <v/>
      </c>
      <c r="AK73" s="18">
        <f>IF(AND('Zaman'!AK9&gt;21,'Zaman'!AK9-21&lt;=5),MIN(INDEX('Vergi'!$F$50:$AR$50,MATCH(21,'Zaman'!$F$9:$AR$9,0))-SUM(F73:AJ73),MAX(0,'Vergi'!AK51-SUM(AK53:AK72))),0)</f>
        <v/>
      </c>
      <c r="AL73" s="18">
        <f>IF(AND('Zaman'!AL9&gt;21,'Zaman'!AL9-21&lt;=5),MIN(INDEX('Vergi'!$F$50:$AR$50,MATCH(21,'Zaman'!$F$9:$AR$9,0))-SUM(F73:AK73),MAX(0,'Vergi'!AL51-SUM(AL53:AL72))),0)</f>
        <v/>
      </c>
      <c r="AM73" s="18">
        <f>IF(AND('Zaman'!AM9&gt;21,'Zaman'!AM9-21&lt;=5),MIN(INDEX('Vergi'!$F$50:$AR$50,MATCH(21,'Zaman'!$F$9:$AR$9,0))-SUM(F73:AL73),MAX(0,'Vergi'!AM51-SUM(AM53:AM72))),0)</f>
        <v/>
      </c>
      <c r="AN73" s="18">
        <f>IF(AND('Zaman'!AN9&gt;21,'Zaman'!AN9-21&lt;=5),MIN(INDEX('Vergi'!$F$50:$AR$50,MATCH(21,'Zaman'!$F$9:$AR$9,0))-SUM(F73:AM73),MAX(0,'Vergi'!AN51-SUM(AN53:AN72))),0)</f>
        <v/>
      </c>
      <c r="AO73" s="18">
        <f>IF(AND('Zaman'!AO9&gt;21,'Zaman'!AO9-21&lt;=5),MIN(INDEX('Vergi'!$F$50:$AR$50,MATCH(21,'Zaman'!$F$9:$AR$9,0))-SUM(F73:AN73),MAX(0,'Vergi'!AO51-SUM(AO53:AO72))),0)</f>
        <v/>
      </c>
      <c r="AP73" s="18">
        <f>IF(AND('Zaman'!AP9&gt;21,'Zaman'!AP9-21&lt;=5),MIN(INDEX('Vergi'!$F$50:$AR$50,MATCH(21,'Zaman'!$F$9:$AR$9,0))-SUM(F73:AO73),MAX(0,'Vergi'!AP51-SUM(AP53:AP72))),0)</f>
        <v/>
      </c>
      <c r="AQ73" s="18">
        <f>IF(AND('Zaman'!AQ9&gt;21,'Zaman'!AQ9-21&lt;=5),MIN(INDEX('Vergi'!$F$50:$AR$50,MATCH(21,'Zaman'!$F$9:$AR$9,0))-SUM(F73:AP73),MAX(0,'Vergi'!AQ51-SUM(AQ53:AQ72))),0)</f>
        <v/>
      </c>
      <c r="AR73" s="18">
        <f>IF(AND('Zaman'!AR9&gt;21,'Zaman'!AR9-21&lt;=5),MIN(INDEX('Vergi'!$F$50:$AR$50,MATCH(21,'Zaman'!$F$9:$AR$9,0))-SUM(F73:AQ73),MAX(0,'Vergi'!AR51-SUM(AR53:AR72))),0)</f>
        <v/>
      </c>
    </row>
    <row r="74">
      <c r="A74" t="inlineStr">
        <is>
          <t>Zarar yılı 22 — kullanım</t>
        </is>
      </c>
      <c r="B74" t="inlineStr">
        <is>
          <t>USD</t>
        </is>
      </c>
      <c r="F74" s="18">
        <f>IF(AND('Zaman'!F9&gt;22,'Zaman'!F9-22&lt;=5),MIN(INDEX('Vergi'!$F$50:$AR$50,MATCH(22,'Zaman'!$F$9:$AR$9,0))-0,MAX(0,'Vergi'!F51-SUM(F53:F73))),0)</f>
        <v/>
      </c>
      <c r="G74" s="18">
        <f>IF(AND('Zaman'!G9&gt;22,'Zaman'!G9-22&lt;=5),MIN(INDEX('Vergi'!$F$50:$AR$50,MATCH(22,'Zaman'!$F$9:$AR$9,0))-SUM(F74:F74),MAX(0,'Vergi'!G51-SUM(G53:G73))),0)</f>
        <v/>
      </c>
      <c r="H74" s="18">
        <f>IF(AND('Zaman'!H9&gt;22,'Zaman'!H9-22&lt;=5),MIN(INDEX('Vergi'!$F$50:$AR$50,MATCH(22,'Zaman'!$F$9:$AR$9,0))-SUM(F74:G74),MAX(0,'Vergi'!H51-SUM(H53:H73))),0)</f>
        <v/>
      </c>
      <c r="I74" s="18">
        <f>IF(AND('Zaman'!I9&gt;22,'Zaman'!I9-22&lt;=5),MIN(INDEX('Vergi'!$F$50:$AR$50,MATCH(22,'Zaman'!$F$9:$AR$9,0))-SUM(F74:H74),MAX(0,'Vergi'!I51-SUM(I53:I73))),0)</f>
        <v/>
      </c>
      <c r="J74" s="18">
        <f>IF(AND('Zaman'!J9&gt;22,'Zaman'!J9-22&lt;=5),MIN(INDEX('Vergi'!$F$50:$AR$50,MATCH(22,'Zaman'!$F$9:$AR$9,0))-SUM(F74:I74),MAX(0,'Vergi'!J51-SUM(J53:J73))),0)</f>
        <v/>
      </c>
      <c r="K74" s="18">
        <f>IF(AND('Zaman'!K9&gt;22,'Zaman'!K9-22&lt;=5),MIN(INDEX('Vergi'!$F$50:$AR$50,MATCH(22,'Zaman'!$F$9:$AR$9,0))-SUM(F74:J74),MAX(0,'Vergi'!K51-SUM(K53:K73))),0)</f>
        <v/>
      </c>
      <c r="L74" s="18">
        <f>IF(AND('Zaman'!L9&gt;22,'Zaman'!L9-22&lt;=5),MIN(INDEX('Vergi'!$F$50:$AR$50,MATCH(22,'Zaman'!$F$9:$AR$9,0))-SUM(F74:K74),MAX(0,'Vergi'!L51-SUM(L53:L73))),0)</f>
        <v/>
      </c>
      <c r="M74" s="18">
        <f>IF(AND('Zaman'!M9&gt;22,'Zaman'!M9-22&lt;=5),MIN(INDEX('Vergi'!$F$50:$AR$50,MATCH(22,'Zaman'!$F$9:$AR$9,0))-SUM(F74:L74),MAX(0,'Vergi'!M51-SUM(M53:M73))),0)</f>
        <v/>
      </c>
      <c r="N74" s="18">
        <f>IF(AND('Zaman'!N9&gt;22,'Zaman'!N9-22&lt;=5),MIN(INDEX('Vergi'!$F$50:$AR$50,MATCH(22,'Zaman'!$F$9:$AR$9,0))-SUM(F74:M74),MAX(0,'Vergi'!N51-SUM(N53:N73))),0)</f>
        <v/>
      </c>
      <c r="O74" s="18">
        <f>IF(AND('Zaman'!O9&gt;22,'Zaman'!O9-22&lt;=5),MIN(INDEX('Vergi'!$F$50:$AR$50,MATCH(22,'Zaman'!$F$9:$AR$9,0))-SUM(F74:N74),MAX(0,'Vergi'!O51-SUM(O53:O73))),0)</f>
        <v/>
      </c>
      <c r="P74" s="18">
        <f>IF(AND('Zaman'!P9&gt;22,'Zaman'!P9-22&lt;=5),MIN(INDEX('Vergi'!$F$50:$AR$50,MATCH(22,'Zaman'!$F$9:$AR$9,0))-SUM(F74:O74),MAX(0,'Vergi'!P51-SUM(P53:P73))),0)</f>
        <v/>
      </c>
      <c r="Q74" s="18">
        <f>IF(AND('Zaman'!Q9&gt;22,'Zaman'!Q9-22&lt;=5),MIN(INDEX('Vergi'!$F$50:$AR$50,MATCH(22,'Zaman'!$F$9:$AR$9,0))-SUM(F74:P74),MAX(0,'Vergi'!Q51-SUM(Q53:Q73))),0)</f>
        <v/>
      </c>
      <c r="R74" s="18">
        <f>IF(AND('Zaman'!R9&gt;22,'Zaman'!R9-22&lt;=5),MIN(INDEX('Vergi'!$F$50:$AR$50,MATCH(22,'Zaman'!$F$9:$AR$9,0))-SUM(F74:Q74),MAX(0,'Vergi'!R51-SUM(R53:R73))),0)</f>
        <v/>
      </c>
      <c r="S74" s="18">
        <f>IF(AND('Zaman'!S9&gt;22,'Zaman'!S9-22&lt;=5),MIN(INDEX('Vergi'!$F$50:$AR$50,MATCH(22,'Zaman'!$F$9:$AR$9,0))-SUM(F74:R74),MAX(0,'Vergi'!S51-SUM(S53:S73))),0)</f>
        <v/>
      </c>
      <c r="T74" s="18">
        <f>IF(AND('Zaman'!T9&gt;22,'Zaman'!T9-22&lt;=5),MIN(INDEX('Vergi'!$F$50:$AR$50,MATCH(22,'Zaman'!$F$9:$AR$9,0))-SUM(F74:S74),MAX(0,'Vergi'!T51-SUM(T53:T73))),0)</f>
        <v/>
      </c>
      <c r="U74" s="18">
        <f>IF(AND('Zaman'!U9&gt;22,'Zaman'!U9-22&lt;=5),MIN(INDEX('Vergi'!$F$50:$AR$50,MATCH(22,'Zaman'!$F$9:$AR$9,0))-SUM(F74:T74),MAX(0,'Vergi'!U51-SUM(U53:U73))),0)</f>
        <v/>
      </c>
      <c r="V74" s="18">
        <f>IF(AND('Zaman'!V9&gt;22,'Zaman'!V9-22&lt;=5),MIN(INDEX('Vergi'!$F$50:$AR$50,MATCH(22,'Zaman'!$F$9:$AR$9,0))-SUM(F74:U74),MAX(0,'Vergi'!V51-SUM(V53:V73))),0)</f>
        <v/>
      </c>
      <c r="W74" s="18">
        <f>IF(AND('Zaman'!W9&gt;22,'Zaman'!W9-22&lt;=5),MIN(INDEX('Vergi'!$F$50:$AR$50,MATCH(22,'Zaman'!$F$9:$AR$9,0))-SUM(F74:V74),MAX(0,'Vergi'!W51-SUM(W53:W73))),0)</f>
        <v/>
      </c>
      <c r="X74" s="18">
        <f>IF(AND('Zaman'!X9&gt;22,'Zaman'!X9-22&lt;=5),MIN(INDEX('Vergi'!$F$50:$AR$50,MATCH(22,'Zaman'!$F$9:$AR$9,0))-SUM(F74:W74),MAX(0,'Vergi'!X51-SUM(X53:X73))),0)</f>
        <v/>
      </c>
      <c r="Y74" s="18">
        <f>IF(AND('Zaman'!Y9&gt;22,'Zaman'!Y9-22&lt;=5),MIN(INDEX('Vergi'!$F$50:$AR$50,MATCH(22,'Zaman'!$F$9:$AR$9,0))-SUM(F74:X74),MAX(0,'Vergi'!Y51-SUM(Y53:Y73))),0)</f>
        <v/>
      </c>
      <c r="Z74" s="18">
        <f>IF(AND('Zaman'!Z9&gt;22,'Zaman'!Z9-22&lt;=5),MIN(INDEX('Vergi'!$F$50:$AR$50,MATCH(22,'Zaman'!$F$9:$AR$9,0))-SUM(F74:Y74),MAX(0,'Vergi'!Z51-SUM(Z53:Z73))),0)</f>
        <v/>
      </c>
      <c r="AA74" s="18">
        <f>IF(AND('Zaman'!AA9&gt;22,'Zaman'!AA9-22&lt;=5),MIN(INDEX('Vergi'!$F$50:$AR$50,MATCH(22,'Zaman'!$F$9:$AR$9,0))-SUM(F74:Z74),MAX(0,'Vergi'!AA51-SUM(AA53:AA73))),0)</f>
        <v/>
      </c>
      <c r="AB74" s="18">
        <f>IF(AND('Zaman'!AB9&gt;22,'Zaman'!AB9-22&lt;=5),MIN(INDEX('Vergi'!$F$50:$AR$50,MATCH(22,'Zaman'!$F$9:$AR$9,0))-SUM(F74:AA74),MAX(0,'Vergi'!AB51-SUM(AB53:AB73))),0)</f>
        <v/>
      </c>
      <c r="AC74" s="18">
        <f>IF(AND('Zaman'!AC9&gt;22,'Zaman'!AC9-22&lt;=5),MIN(INDEX('Vergi'!$F$50:$AR$50,MATCH(22,'Zaman'!$F$9:$AR$9,0))-SUM(F74:AB74),MAX(0,'Vergi'!AC51-SUM(AC53:AC73))),0)</f>
        <v/>
      </c>
      <c r="AD74" s="18">
        <f>IF(AND('Zaman'!AD9&gt;22,'Zaman'!AD9-22&lt;=5),MIN(INDEX('Vergi'!$F$50:$AR$50,MATCH(22,'Zaman'!$F$9:$AR$9,0))-SUM(F74:AC74),MAX(0,'Vergi'!AD51-SUM(AD53:AD73))),0)</f>
        <v/>
      </c>
      <c r="AE74" s="18">
        <f>IF(AND('Zaman'!AE9&gt;22,'Zaman'!AE9-22&lt;=5),MIN(INDEX('Vergi'!$F$50:$AR$50,MATCH(22,'Zaman'!$F$9:$AR$9,0))-SUM(F74:AD74),MAX(0,'Vergi'!AE51-SUM(AE53:AE73))),0)</f>
        <v/>
      </c>
      <c r="AF74" s="18">
        <f>IF(AND('Zaman'!AF9&gt;22,'Zaman'!AF9-22&lt;=5),MIN(INDEX('Vergi'!$F$50:$AR$50,MATCH(22,'Zaman'!$F$9:$AR$9,0))-SUM(F74:AE74),MAX(0,'Vergi'!AF51-SUM(AF53:AF73))),0)</f>
        <v/>
      </c>
      <c r="AG74" s="18">
        <f>IF(AND('Zaman'!AG9&gt;22,'Zaman'!AG9-22&lt;=5),MIN(INDEX('Vergi'!$F$50:$AR$50,MATCH(22,'Zaman'!$F$9:$AR$9,0))-SUM(F74:AF74),MAX(0,'Vergi'!AG51-SUM(AG53:AG73))),0)</f>
        <v/>
      </c>
      <c r="AH74" s="18">
        <f>IF(AND('Zaman'!AH9&gt;22,'Zaman'!AH9-22&lt;=5),MIN(INDEX('Vergi'!$F$50:$AR$50,MATCH(22,'Zaman'!$F$9:$AR$9,0))-SUM(F74:AG74),MAX(0,'Vergi'!AH51-SUM(AH53:AH73))),0)</f>
        <v/>
      </c>
      <c r="AI74" s="18">
        <f>IF(AND('Zaman'!AI9&gt;22,'Zaman'!AI9-22&lt;=5),MIN(INDEX('Vergi'!$F$50:$AR$50,MATCH(22,'Zaman'!$F$9:$AR$9,0))-SUM(F74:AH74),MAX(0,'Vergi'!AI51-SUM(AI53:AI73))),0)</f>
        <v/>
      </c>
      <c r="AJ74" s="18">
        <f>IF(AND('Zaman'!AJ9&gt;22,'Zaman'!AJ9-22&lt;=5),MIN(INDEX('Vergi'!$F$50:$AR$50,MATCH(22,'Zaman'!$F$9:$AR$9,0))-SUM(F74:AI74),MAX(0,'Vergi'!AJ51-SUM(AJ53:AJ73))),0)</f>
        <v/>
      </c>
      <c r="AK74" s="18">
        <f>IF(AND('Zaman'!AK9&gt;22,'Zaman'!AK9-22&lt;=5),MIN(INDEX('Vergi'!$F$50:$AR$50,MATCH(22,'Zaman'!$F$9:$AR$9,0))-SUM(F74:AJ74),MAX(0,'Vergi'!AK51-SUM(AK53:AK73))),0)</f>
        <v/>
      </c>
      <c r="AL74" s="18">
        <f>IF(AND('Zaman'!AL9&gt;22,'Zaman'!AL9-22&lt;=5),MIN(INDEX('Vergi'!$F$50:$AR$50,MATCH(22,'Zaman'!$F$9:$AR$9,0))-SUM(F74:AK74),MAX(0,'Vergi'!AL51-SUM(AL53:AL73))),0)</f>
        <v/>
      </c>
      <c r="AM74" s="18">
        <f>IF(AND('Zaman'!AM9&gt;22,'Zaman'!AM9-22&lt;=5),MIN(INDEX('Vergi'!$F$50:$AR$50,MATCH(22,'Zaman'!$F$9:$AR$9,0))-SUM(F74:AL74),MAX(0,'Vergi'!AM51-SUM(AM53:AM73))),0)</f>
        <v/>
      </c>
      <c r="AN74" s="18">
        <f>IF(AND('Zaman'!AN9&gt;22,'Zaman'!AN9-22&lt;=5),MIN(INDEX('Vergi'!$F$50:$AR$50,MATCH(22,'Zaman'!$F$9:$AR$9,0))-SUM(F74:AM74),MAX(0,'Vergi'!AN51-SUM(AN53:AN73))),0)</f>
        <v/>
      </c>
      <c r="AO74" s="18">
        <f>IF(AND('Zaman'!AO9&gt;22,'Zaman'!AO9-22&lt;=5),MIN(INDEX('Vergi'!$F$50:$AR$50,MATCH(22,'Zaman'!$F$9:$AR$9,0))-SUM(F74:AN74),MAX(0,'Vergi'!AO51-SUM(AO53:AO73))),0)</f>
        <v/>
      </c>
      <c r="AP74" s="18">
        <f>IF(AND('Zaman'!AP9&gt;22,'Zaman'!AP9-22&lt;=5),MIN(INDEX('Vergi'!$F$50:$AR$50,MATCH(22,'Zaman'!$F$9:$AR$9,0))-SUM(F74:AO74),MAX(0,'Vergi'!AP51-SUM(AP53:AP73))),0)</f>
        <v/>
      </c>
      <c r="AQ74" s="18">
        <f>IF(AND('Zaman'!AQ9&gt;22,'Zaman'!AQ9-22&lt;=5),MIN(INDEX('Vergi'!$F$50:$AR$50,MATCH(22,'Zaman'!$F$9:$AR$9,0))-SUM(F74:AP74),MAX(0,'Vergi'!AQ51-SUM(AQ53:AQ73))),0)</f>
        <v/>
      </c>
      <c r="AR74" s="18">
        <f>IF(AND('Zaman'!AR9&gt;22,'Zaman'!AR9-22&lt;=5),MIN(INDEX('Vergi'!$F$50:$AR$50,MATCH(22,'Zaman'!$F$9:$AR$9,0))-SUM(F74:AQ74),MAX(0,'Vergi'!AR51-SUM(AR53:AR73))),0)</f>
        <v/>
      </c>
    </row>
    <row r="75">
      <c r="A75" t="inlineStr">
        <is>
          <t>Zarar yılı 23 — kullanım</t>
        </is>
      </c>
      <c r="B75" t="inlineStr">
        <is>
          <t>USD</t>
        </is>
      </c>
      <c r="F75" s="18">
        <f>IF(AND('Zaman'!F9&gt;23,'Zaman'!F9-23&lt;=5),MIN(INDEX('Vergi'!$F$50:$AR$50,MATCH(23,'Zaman'!$F$9:$AR$9,0))-0,MAX(0,'Vergi'!F51-SUM(F53:F74))),0)</f>
        <v/>
      </c>
      <c r="G75" s="18">
        <f>IF(AND('Zaman'!G9&gt;23,'Zaman'!G9-23&lt;=5),MIN(INDEX('Vergi'!$F$50:$AR$50,MATCH(23,'Zaman'!$F$9:$AR$9,0))-SUM(F75:F75),MAX(0,'Vergi'!G51-SUM(G53:G74))),0)</f>
        <v/>
      </c>
      <c r="H75" s="18">
        <f>IF(AND('Zaman'!H9&gt;23,'Zaman'!H9-23&lt;=5),MIN(INDEX('Vergi'!$F$50:$AR$50,MATCH(23,'Zaman'!$F$9:$AR$9,0))-SUM(F75:G75),MAX(0,'Vergi'!H51-SUM(H53:H74))),0)</f>
        <v/>
      </c>
      <c r="I75" s="18">
        <f>IF(AND('Zaman'!I9&gt;23,'Zaman'!I9-23&lt;=5),MIN(INDEX('Vergi'!$F$50:$AR$50,MATCH(23,'Zaman'!$F$9:$AR$9,0))-SUM(F75:H75),MAX(0,'Vergi'!I51-SUM(I53:I74))),0)</f>
        <v/>
      </c>
      <c r="J75" s="18">
        <f>IF(AND('Zaman'!J9&gt;23,'Zaman'!J9-23&lt;=5),MIN(INDEX('Vergi'!$F$50:$AR$50,MATCH(23,'Zaman'!$F$9:$AR$9,0))-SUM(F75:I75),MAX(0,'Vergi'!J51-SUM(J53:J74))),0)</f>
        <v/>
      </c>
      <c r="K75" s="18">
        <f>IF(AND('Zaman'!K9&gt;23,'Zaman'!K9-23&lt;=5),MIN(INDEX('Vergi'!$F$50:$AR$50,MATCH(23,'Zaman'!$F$9:$AR$9,0))-SUM(F75:J75),MAX(0,'Vergi'!K51-SUM(K53:K74))),0)</f>
        <v/>
      </c>
      <c r="L75" s="18">
        <f>IF(AND('Zaman'!L9&gt;23,'Zaman'!L9-23&lt;=5),MIN(INDEX('Vergi'!$F$50:$AR$50,MATCH(23,'Zaman'!$F$9:$AR$9,0))-SUM(F75:K75),MAX(0,'Vergi'!L51-SUM(L53:L74))),0)</f>
        <v/>
      </c>
      <c r="M75" s="18">
        <f>IF(AND('Zaman'!M9&gt;23,'Zaman'!M9-23&lt;=5),MIN(INDEX('Vergi'!$F$50:$AR$50,MATCH(23,'Zaman'!$F$9:$AR$9,0))-SUM(F75:L75),MAX(0,'Vergi'!M51-SUM(M53:M74))),0)</f>
        <v/>
      </c>
      <c r="N75" s="18">
        <f>IF(AND('Zaman'!N9&gt;23,'Zaman'!N9-23&lt;=5),MIN(INDEX('Vergi'!$F$50:$AR$50,MATCH(23,'Zaman'!$F$9:$AR$9,0))-SUM(F75:M75),MAX(0,'Vergi'!N51-SUM(N53:N74))),0)</f>
        <v/>
      </c>
      <c r="O75" s="18">
        <f>IF(AND('Zaman'!O9&gt;23,'Zaman'!O9-23&lt;=5),MIN(INDEX('Vergi'!$F$50:$AR$50,MATCH(23,'Zaman'!$F$9:$AR$9,0))-SUM(F75:N75),MAX(0,'Vergi'!O51-SUM(O53:O74))),0)</f>
        <v/>
      </c>
      <c r="P75" s="18">
        <f>IF(AND('Zaman'!P9&gt;23,'Zaman'!P9-23&lt;=5),MIN(INDEX('Vergi'!$F$50:$AR$50,MATCH(23,'Zaman'!$F$9:$AR$9,0))-SUM(F75:O75),MAX(0,'Vergi'!P51-SUM(P53:P74))),0)</f>
        <v/>
      </c>
      <c r="Q75" s="18">
        <f>IF(AND('Zaman'!Q9&gt;23,'Zaman'!Q9-23&lt;=5),MIN(INDEX('Vergi'!$F$50:$AR$50,MATCH(23,'Zaman'!$F$9:$AR$9,0))-SUM(F75:P75),MAX(0,'Vergi'!Q51-SUM(Q53:Q74))),0)</f>
        <v/>
      </c>
      <c r="R75" s="18">
        <f>IF(AND('Zaman'!R9&gt;23,'Zaman'!R9-23&lt;=5),MIN(INDEX('Vergi'!$F$50:$AR$50,MATCH(23,'Zaman'!$F$9:$AR$9,0))-SUM(F75:Q75),MAX(0,'Vergi'!R51-SUM(R53:R74))),0)</f>
        <v/>
      </c>
      <c r="S75" s="18">
        <f>IF(AND('Zaman'!S9&gt;23,'Zaman'!S9-23&lt;=5),MIN(INDEX('Vergi'!$F$50:$AR$50,MATCH(23,'Zaman'!$F$9:$AR$9,0))-SUM(F75:R75),MAX(0,'Vergi'!S51-SUM(S53:S74))),0)</f>
        <v/>
      </c>
      <c r="T75" s="18">
        <f>IF(AND('Zaman'!T9&gt;23,'Zaman'!T9-23&lt;=5),MIN(INDEX('Vergi'!$F$50:$AR$50,MATCH(23,'Zaman'!$F$9:$AR$9,0))-SUM(F75:S75),MAX(0,'Vergi'!T51-SUM(T53:T74))),0)</f>
        <v/>
      </c>
      <c r="U75" s="18">
        <f>IF(AND('Zaman'!U9&gt;23,'Zaman'!U9-23&lt;=5),MIN(INDEX('Vergi'!$F$50:$AR$50,MATCH(23,'Zaman'!$F$9:$AR$9,0))-SUM(F75:T75),MAX(0,'Vergi'!U51-SUM(U53:U74))),0)</f>
        <v/>
      </c>
      <c r="V75" s="18">
        <f>IF(AND('Zaman'!V9&gt;23,'Zaman'!V9-23&lt;=5),MIN(INDEX('Vergi'!$F$50:$AR$50,MATCH(23,'Zaman'!$F$9:$AR$9,0))-SUM(F75:U75),MAX(0,'Vergi'!V51-SUM(V53:V74))),0)</f>
        <v/>
      </c>
      <c r="W75" s="18">
        <f>IF(AND('Zaman'!W9&gt;23,'Zaman'!W9-23&lt;=5),MIN(INDEX('Vergi'!$F$50:$AR$50,MATCH(23,'Zaman'!$F$9:$AR$9,0))-SUM(F75:V75),MAX(0,'Vergi'!W51-SUM(W53:W74))),0)</f>
        <v/>
      </c>
      <c r="X75" s="18">
        <f>IF(AND('Zaman'!X9&gt;23,'Zaman'!X9-23&lt;=5),MIN(INDEX('Vergi'!$F$50:$AR$50,MATCH(23,'Zaman'!$F$9:$AR$9,0))-SUM(F75:W75),MAX(0,'Vergi'!X51-SUM(X53:X74))),0)</f>
        <v/>
      </c>
      <c r="Y75" s="18">
        <f>IF(AND('Zaman'!Y9&gt;23,'Zaman'!Y9-23&lt;=5),MIN(INDEX('Vergi'!$F$50:$AR$50,MATCH(23,'Zaman'!$F$9:$AR$9,0))-SUM(F75:X75),MAX(0,'Vergi'!Y51-SUM(Y53:Y74))),0)</f>
        <v/>
      </c>
      <c r="Z75" s="18">
        <f>IF(AND('Zaman'!Z9&gt;23,'Zaman'!Z9-23&lt;=5),MIN(INDEX('Vergi'!$F$50:$AR$50,MATCH(23,'Zaman'!$F$9:$AR$9,0))-SUM(F75:Y75),MAX(0,'Vergi'!Z51-SUM(Z53:Z74))),0)</f>
        <v/>
      </c>
      <c r="AA75" s="18">
        <f>IF(AND('Zaman'!AA9&gt;23,'Zaman'!AA9-23&lt;=5),MIN(INDEX('Vergi'!$F$50:$AR$50,MATCH(23,'Zaman'!$F$9:$AR$9,0))-SUM(F75:Z75),MAX(0,'Vergi'!AA51-SUM(AA53:AA74))),0)</f>
        <v/>
      </c>
      <c r="AB75" s="18">
        <f>IF(AND('Zaman'!AB9&gt;23,'Zaman'!AB9-23&lt;=5),MIN(INDEX('Vergi'!$F$50:$AR$50,MATCH(23,'Zaman'!$F$9:$AR$9,0))-SUM(F75:AA75),MAX(0,'Vergi'!AB51-SUM(AB53:AB74))),0)</f>
        <v/>
      </c>
      <c r="AC75" s="18">
        <f>IF(AND('Zaman'!AC9&gt;23,'Zaman'!AC9-23&lt;=5),MIN(INDEX('Vergi'!$F$50:$AR$50,MATCH(23,'Zaman'!$F$9:$AR$9,0))-SUM(F75:AB75),MAX(0,'Vergi'!AC51-SUM(AC53:AC74))),0)</f>
        <v/>
      </c>
      <c r="AD75" s="18">
        <f>IF(AND('Zaman'!AD9&gt;23,'Zaman'!AD9-23&lt;=5),MIN(INDEX('Vergi'!$F$50:$AR$50,MATCH(23,'Zaman'!$F$9:$AR$9,0))-SUM(F75:AC75),MAX(0,'Vergi'!AD51-SUM(AD53:AD74))),0)</f>
        <v/>
      </c>
      <c r="AE75" s="18">
        <f>IF(AND('Zaman'!AE9&gt;23,'Zaman'!AE9-23&lt;=5),MIN(INDEX('Vergi'!$F$50:$AR$50,MATCH(23,'Zaman'!$F$9:$AR$9,0))-SUM(F75:AD75),MAX(0,'Vergi'!AE51-SUM(AE53:AE74))),0)</f>
        <v/>
      </c>
      <c r="AF75" s="18">
        <f>IF(AND('Zaman'!AF9&gt;23,'Zaman'!AF9-23&lt;=5),MIN(INDEX('Vergi'!$F$50:$AR$50,MATCH(23,'Zaman'!$F$9:$AR$9,0))-SUM(F75:AE75),MAX(0,'Vergi'!AF51-SUM(AF53:AF74))),0)</f>
        <v/>
      </c>
      <c r="AG75" s="18">
        <f>IF(AND('Zaman'!AG9&gt;23,'Zaman'!AG9-23&lt;=5),MIN(INDEX('Vergi'!$F$50:$AR$50,MATCH(23,'Zaman'!$F$9:$AR$9,0))-SUM(F75:AF75),MAX(0,'Vergi'!AG51-SUM(AG53:AG74))),0)</f>
        <v/>
      </c>
      <c r="AH75" s="18">
        <f>IF(AND('Zaman'!AH9&gt;23,'Zaman'!AH9-23&lt;=5),MIN(INDEX('Vergi'!$F$50:$AR$50,MATCH(23,'Zaman'!$F$9:$AR$9,0))-SUM(F75:AG75),MAX(0,'Vergi'!AH51-SUM(AH53:AH74))),0)</f>
        <v/>
      </c>
      <c r="AI75" s="18">
        <f>IF(AND('Zaman'!AI9&gt;23,'Zaman'!AI9-23&lt;=5),MIN(INDEX('Vergi'!$F$50:$AR$50,MATCH(23,'Zaman'!$F$9:$AR$9,0))-SUM(F75:AH75),MAX(0,'Vergi'!AI51-SUM(AI53:AI74))),0)</f>
        <v/>
      </c>
      <c r="AJ75" s="18">
        <f>IF(AND('Zaman'!AJ9&gt;23,'Zaman'!AJ9-23&lt;=5),MIN(INDEX('Vergi'!$F$50:$AR$50,MATCH(23,'Zaman'!$F$9:$AR$9,0))-SUM(F75:AI75),MAX(0,'Vergi'!AJ51-SUM(AJ53:AJ74))),0)</f>
        <v/>
      </c>
      <c r="AK75" s="18">
        <f>IF(AND('Zaman'!AK9&gt;23,'Zaman'!AK9-23&lt;=5),MIN(INDEX('Vergi'!$F$50:$AR$50,MATCH(23,'Zaman'!$F$9:$AR$9,0))-SUM(F75:AJ75),MAX(0,'Vergi'!AK51-SUM(AK53:AK74))),0)</f>
        <v/>
      </c>
      <c r="AL75" s="18">
        <f>IF(AND('Zaman'!AL9&gt;23,'Zaman'!AL9-23&lt;=5),MIN(INDEX('Vergi'!$F$50:$AR$50,MATCH(23,'Zaman'!$F$9:$AR$9,0))-SUM(F75:AK75),MAX(0,'Vergi'!AL51-SUM(AL53:AL74))),0)</f>
        <v/>
      </c>
      <c r="AM75" s="18">
        <f>IF(AND('Zaman'!AM9&gt;23,'Zaman'!AM9-23&lt;=5),MIN(INDEX('Vergi'!$F$50:$AR$50,MATCH(23,'Zaman'!$F$9:$AR$9,0))-SUM(F75:AL75),MAX(0,'Vergi'!AM51-SUM(AM53:AM74))),0)</f>
        <v/>
      </c>
      <c r="AN75" s="18">
        <f>IF(AND('Zaman'!AN9&gt;23,'Zaman'!AN9-23&lt;=5),MIN(INDEX('Vergi'!$F$50:$AR$50,MATCH(23,'Zaman'!$F$9:$AR$9,0))-SUM(F75:AM75),MAX(0,'Vergi'!AN51-SUM(AN53:AN74))),0)</f>
        <v/>
      </c>
      <c r="AO75" s="18">
        <f>IF(AND('Zaman'!AO9&gt;23,'Zaman'!AO9-23&lt;=5),MIN(INDEX('Vergi'!$F$50:$AR$50,MATCH(23,'Zaman'!$F$9:$AR$9,0))-SUM(F75:AN75),MAX(0,'Vergi'!AO51-SUM(AO53:AO74))),0)</f>
        <v/>
      </c>
      <c r="AP75" s="18">
        <f>IF(AND('Zaman'!AP9&gt;23,'Zaman'!AP9-23&lt;=5),MIN(INDEX('Vergi'!$F$50:$AR$50,MATCH(23,'Zaman'!$F$9:$AR$9,0))-SUM(F75:AO75),MAX(0,'Vergi'!AP51-SUM(AP53:AP74))),0)</f>
        <v/>
      </c>
      <c r="AQ75" s="18">
        <f>IF(AND('Zaman'!AQ9&gt;23,'Zaman'!AQ9-23&lt;=5),MIN(INDEX('Vergi'!$F$50:$AR$50,MATCH(23,'Zaman'!$F$9:$AR$9,0))-SUM(F75:AP75),MAX(0,'Vergi'!AQ51-SUM(AQ53:AQ74))),0)</f>
        <v/>
      </c>
      <c r="AR75" s="18">
        <f>IF(AND('Zaman'!AR9&gt;23,'Zaman'!AR9-23&lt;=5),MIN(INDEX('Vergi'!$F$50:$AR$50,MATCH(23,'Zaman'!$F$9:$AR$9,0))-SUM(F75:AQ75),MAX(0,'Vergi'!AR51-SUM(AR53:AR74))),0)</f>
        <v/>
      </c>
    </row>
    <row r="76">
      <c r="A76" t="inlineStr">
        <is>
          <t>Zarar yılı 24 — kullanım</t>
        </is>
      </c>
      <c r="B76" t="inlineStr">
        <is>
          <t>USD</t>
        </is>
      </c>
      <c r="F76" s="18">
        <f>IF(AND('Zaman'!F9&gt;24,'Zaman'!F9-24&lt;=5),MIN(INDEX('Vergi'!$F$50:$AR$50,MATCH(24,'Zaman'!$F$9:$AR$9,0))-0,MAX(0,'Vergi'!F51-SUM(F53:F75))),0)</f>
        <v/>
      </c>
      <c r="G76" s="18">
        <f>IF(AND('Zaman'!G9&gt;24,'Zaman'!G9-24&lt;=5),MIN(INDEX('Vergi'!$F$50:$AR$50,MATCH(24,'Zaman'!$F$9:$AR$9,0))-SUM(F76:F76),MAX(0,'Vergi'!G51-SUM(G53:G75))),0)</f>
        <v/>
      </c>
      <c r="H76" s="18">
        <f>IF(AND('Zaman'!H9&gt;24,'Zaman'!H9-24&lt;=5),MIN(INDEX('Vergi'!$F$50:$AR$50,MATCH(24,'Zaman'!$F$9:$AR$9,0))-SUM(F76:G76),MAX(0,'Vergi'!H51-SUM(H53:H75))),0)</f>
        <v/>
      </c>
      <c r="I76" s="18">
        <f>IF(AND('Zaman'!I9&gt;24,'Zaman'!I9-24&lt;=5),MIN(INDEX('Vergi'!$F$50:$AR$50,MATCH(24,'Zaman'!$F$9:$AR$9,0))-SUM(F76:H76),MAX(0,'Vergi'!I51-SUM(I53:I75))),0)</f>
        <v/>
      </c>
      <c r="J76" s="18">
        <f>IF(AND('Zaman'!J9&gt;24,'Zaman'!J9-24&lt;=5),MIN(INDEX('Vergi'!$F$50:$AR$50,MATCH(24,'Zaman'!$F$9:$AR$9,0))-SUM(F76:I76),MAX(0,'Vergi'!J51-SUM(J53:J75))),0)</f>
        <v/>
      </c>
      <c r="K76" s="18">
        <f>IF(AND('Zaman'!K9&gt;24,'Zaman'!K9-24&lt;=5),MIN(INDEX('Vergi'!$F$50:$AR$50,MATCH(24,'Zaman'!$F$9:$AR$9,0))-SUM(F76:J76),MAX(0,'Vergi'!K51-SUM(K53:K75))),0)</f>
        <v/>
      </c>
      <c r="L76" s="18">
        <f>IF(AND('Zaman'!L9&gt;24,'Zaman'!L9-24&lt;=5),MIN(INDEX('Vergi'!$F$50:$AR$50,MATCH(24,'Zaman'!$F$9:$AR$9,0))-SUM(F76:K76),MAX(0,'Vergi'!L51-SUM(L53:L75))),0)</f>
        <v/>
      </c>
      <c r="M76" s="18">
        <f>IF(AND('Zaman'!M9&gt;24,'Zaman'!M9-24&lt;=5),MIN(INDEX('Vergi'!$F$50:$AR$50,MATCH(24,'Zaman'!$F$9:$AR$9,0))-SUM(F76:L76),MAX(0,'Vergi'!M51-SUM(M53:M75))),0)</f>
        <v/>
      </c>
      <c r="N76" s="18">
        <f>IF(AND('Zaman'!N9&gt;24,'Zaman'!N9-24&lt;=5),MIN(INDEX('Vergi'!$F$50:$AR$50,MATCH(24,'Zaman'!$F$9:$AR$9,0))-SUM(F76:M76),MAX(0,'Vergi'!N51-SUM(N53:N75))),0)</f>
        <v/>
      </c>
      <c r="O76" s="18">
        <f>IF(AND('Zaman'!O9&gt;24,'Zaman'!O9-24&lt;=5),MIN(INDEX('Vergi'!$F$50:$AR$50,MATCH(24,'Zaman'!$F$9:$AR$9,0))-SUM(F76:N76),MAX(0,'Vergi'!O51-SUM(O53:O75))),0)</f>
        <v/>
      </c>
      <c r="P76" s="18">
        <f>IF(AND('Zaman'!P9&gt;24,'Zaman'!P9-24&lt;=5),MIN(INDEX('Vergi'!$F$50:$AR$50,MATCH(24,'Zaman'!$F$9:$AR$9,0))-SUM(F76:O76),MAX(0,'Vergi'!P51-SUM(P53:P75))),0)</f>
        <v/>
      </c>
      <c r="Q76" s="18">
        <f>IF(AND('Zaman'!Q9&gt;24,'Zaman'!Q9-24&lt;=5),MIN(INDEX('Vergi'!$F$50:$AR$50,MATCH(24,'Zaman'!$F$9:$AR$9,0))-SUM(F76:P76),MAX(0,'Vergi'!Q51-SUM(Q53:Q75))),0)</f>
        <v/>
      </c>
      <c r="R76" s="18">
        <f>IF(AND('Zaman'!R9&gt;24,'Zaman'!R9-24&lt;=5),MIN(INDEX('Vergi'!$F$50:$AR$50,MATCH(24,'Zaman'!$F$9:$AR$9,0))-SUM(F76:Q76),MAX(0,'Vergi'!R51-SUM(R53:R75))),0)</f>
        <v/>
      </c>
      <c r="S76" s="18">
        <f>IF(AND('Zaman'!S9&gt;24,'Zaman'!S9-24&lt;=5),MIN(INDEX('Vergi'!$F$50:$AR$50,MATCH(24,'Zaman'!$F$9:$AR$9,0))-SUM(F76:R76),MAX(0,'Vergi'!S51-SUM(S53:S75))),0)</f>
        <v/>
      </c>
      <c r="T76" s="18">
        <f>IF(AND('Zaman'!T9&gt;24,'Zaman'!T9-24&lt;=5),MIN(INDEX('Vergi'!$F$50:$AR$50,MATCH(24,'Zaman'!$F$9:$AR$9,0))-SUM(F76:S76),MAX(0,'Vergi'!T51-SUM(T53:T75))),0)</f>
        <v/>
      </c>
      <c r="U76" s="18">
        <f>IF(AND('Zaman'!U9&gt;24,'Zaman'!U9-24&lt;=5),MIN(INDEX('Vergi'!$F$50:$AR$50,MATCH(24,'Zaman'!$F$9:$AR$9,0))-SUM(F76:T76),MAX(0,'Vergi'!U51-SUM(U53:U75))),0)</f>
        <v/>
      </c>
      <c r="V76" s="18">
        <f>IF(AND('Zaman'!V9&gt;24,'Zaman'!V9-24&lt;=5),MIN(INDEX('Vergi'!$F$50:$AR$50,MATCH(24,'Zaman'!$F$9:$AR$9,0))-SUM(F76:U76),MAX(0,'Vergi'!V51-SUM(V53:V75))),0)</f>
        <v/>
      </c>
      <c r="W76" s="18">
        <f>IF(AND('Zaman'!W9&gt;24,'Zaman'!W9-24&lt;=5),MIN(INDEX('Vergi'!$F$50:$AR$50,MATCH(24,'Zaman'!$F$9:$AR$9,0))-SUM(F76:V76),MAX(0,'Vergi'!W51-SUM(W53:W75))),0)</f>
        <v/>
      </c>
      <c r="X76" s="18">
        <f>IF(AND('Zaman'!X9&gt;24,'Zaman'!X9-24&lt;=5),MIN(INDEX('Vergi'!$F$50:$AR$50,MATCH(24,'Zaman'!$F$9:$AR$9,0))-SUM(F76:W76),MAX(0,'Vergi'!X51-SUM(X53:X75))),0)</f>
        <v/>
      </c>
      <c r="Y76" s="18">
        <f>IF(AND('Zaman'!Y9&gt;24,'Zaman'!Y9-24&lt;=5),MIN(INDEX('Vergi'!$F$50:$AR$50,MATCH(24,'Zaman'!$F$9:$AR$9,0))-SUM(F76:X76),MAX(0,'Vergi'!Y51-SUM(Y53:Y75))),0)</f>
        <v/>
      </c>
      <c r="Z76" s="18">
        <f>IF(AND('Zaman'!Z9&gt;24,'Zaman'!Z9-24&lt;=5),MIN(INDEX('Vergi'!$F$50:$AR$50,MATCH(24,'Zaman'!$F$9:$AR$9,0))-SUM(F76:Y76),MAX(0,'Vergi'!Z51-SUM(Z53:Z75))),0)</f>
        <v/>
      </c>
      <c r="AA76" s="18">
        <f>IF(AND('Zaman'!AA9&gt;24,'Zaman'!AA9-24&lt;=5),MIN(INDEX('Vergi'!$F$50:$AR$50,MATCH(24,'Zaman'!$F$9:$AR$9,0))-SUM(F76:Z76),MAX(0,'Vergi'!AA51-SUM(AA53:AA75))),0)</f>
        <v/>
      </c>
      <c r="AB76" s="18">
        <f>IF(AND('Zaman'!AB9&gt;24,'Zaman'!AB9-24&lt;=5),MIN(INDEX('Vergi'!$F$50:$AR$50,MATCH(24,'Zaman'!$F$9:$AR$9,0))-SUM(F76:AA76),MAX(0,'Vergi'!AB51-SUM(AB53:AB75))),0)</f>
        <v/>
      </c>
      <c r="AC76" s="18">
        <f>IF(AND('Zaman'!AC9&gt;24,'Zaman'!AC9-24&lt;=5),MIN(INDEX('Vergi'!$F$50:$AR$50,MATCH(24,'Zaman'!$F$9:$AR$9,0))-SUM(F76:AB76),MAX(0,'Vergi'!AC51-SUM(AC53:AC75))),0)</f>
        <v/>
      </c>
      <c r="AD76" s="18">
        <f>IF(AND('Zaman'!AD9&gt;24,'Zaman'!AD9-24&lt;=5),MIN(INDEX('Vergi'!$F$50:$AR$50,MATCH(24,'Zaman'!$F$9:$AR$9,0))-SUM(F76:AC76),MAX(0,'Vergi'!AD51-SUM(AD53:AD75))),0)</f>
        <v/>
      </c>
      <c r="AE76" s="18">
        <f>IF(AND('Zaman'!AE9&gt;24,'Zaman'!AE9-24&lt;=5),MIN(INDEX('Vergi'!$F$50:$AR$50,MATCH(24,'Zaman'!$F$9:$AR$9,0))-SUM(F76:AD76),MAX(0,'Vergi'!AE51-SUM(AE53:AE75))),0)</f>
        <v/>
      </c>
      <c r="AF76" s="18">
        <f>IF(AND('Zaman'!AF9&gt;24,'Zaman'!AF9-24&lt;=5),MIN(INDEX('Vergi'!$F$50:$AR$50,MATCH(24,'Zaman'!$F$9:$AR$9,0))-SUM(F76:AE76),MAX(0,'Vergi'!AF51-SUM(AF53:AF75))),0)</f>
        <v/>
      </c>
      <c r="AG76" s="18">
        <f>IF(AND('Zaman'!AG9&gt;24,'Zaman'!AG9-24&lt;=5),MIN(INDEX('Vergi'!$F$50:$AR$50,MATCH(24,'Zaman'!$F$9:$AR$9,0))-SUM(F76:AF76),MAX(0,'Vergi'!AG51-SUM(AG53:AG75))),0)</f>
        <v/>
      </c>
      <c r="AH76" s="18">
        <f>IF(AND('Zaman'!AH9&gt;24,'Zaman'!AH9-24&lt;=5),MIN(INDEX('Vergi'!$F$50:$AR$50,MATCH(24,'Zaman'!$F$9:$AR$9,0))-SUM(F76:AG76),MAX(0,'Vergi'!AH51-SUM(AH53:AH75))),0)</f>
        <v/>
      </c>
      <c r="AI76" s="18">
        <f>IF(AND('Zaman'!AI9&gt;24,'Zaman'!AI9-24&lt;=5),MIN(INDEX('Vergi'!$F$50:$AR$50,MATCH(24,'Zaman'!$F$9:$AR$9,0))-SUM(F76:AH76),MAX(0,'Vergi'!AI51-SUM(AI53:AI75))),0)</f>
        <v/>
      </c>
      <c r="AJ76" s="18">
        <f>IF(AND('Zaman'!AJ9&gt;24,'Zaman'!AJ9-24&lt;=5),MIN(INDEX('Vergi'!$F$50:$AR$50,MATCH(24,'Zaman'!$F$9:$AR$9,0))-SUM(F76:AI76),MAX(0,'Vergi'!AJ51-SUM(AJ53:AJ75))),0)</f>
        <v/>
      </c>
      <c r="AK76" s="18">
        <f>IF(AND('Zaman'!AK9&gt;24,'Zaman'!AK9-24&lt;=5),MIN(INDEX('Vergi'!$F$50:$AR$50,MATCH(24,'Zaman'!$F$9:$AR$9,0))-SUM(F76:AJ76),MAX(0,'Vergi'!AK51-SUM(AK53:AK75))),0)</f>
        <v/>
      </c>
      <c r="AL76" s="18">
        <f>IF(AND('Zaman'!AL9&gt;24,'Zaman'!AL9-24&lt;=5),MIN(INDEX('Vergi'!$F$50:$AR$50,MATCH(24,'Zaman'!$F$9:$AR$9,0))-SUM(F76:AK76),MAX(0,'Vergi'!AL51-SUM(AL53:AL75))),0)</f>
        <v/>
      </c>
      <c r="AM76" s="18">
        <f>IF(AND('Zaman'!AM9&gt;24,'Zaman'!AM9-24&lt;=5),MIN(INDEX('Vergi'!$F$50:$AR$50,MATCH(24,'Zaman'!$F$9:$AR$9,0))-SUM(F76:AL76),MAX(0,'Vergi'!AM51-SUM(AM53:AM75))),0)</f>
        <v/>
      </c>
      <c r="AN76" s="18">
        <f>IF(AND('Zaman'!AN9&gt;24,'Zaman'!AN9-24&lt;=5),MIN(INDEX('Vergi'!$F$50:$AR$50,MATCH(24,'Zaman'!$F$9:$AR$9,0))-SUM(F76:AM76),MAX(0,'Vergi'!AN51-SUM(AN53:AN75))),0)</f>
        <v/>
      </c>
      <c r="AO76" s="18">
        <f>IF(AND('Zaman'!AO9&gt;24,'Zaman'!AO9-24&lt;=5),MIN(INDEX('Vergi'!$F$50:$AR$50,MATCH(24,'Zaman'!$F$9:$AR$9,0))-SUM(F76:AN76),MAX(0,'Vergi'!AO51-SUM(AO53:AO75))),0)</f>
        <v/>
      </c>
      <c r="AP76" s="18">
        <f>IF(AND('Zaman'!AP9&gt;24,'Zaman'!AP9-24&lt;=5),MIN(INDEX('Vergi'!$F$50:$AR$50,MATCH(24,'Zaman'!$F$9:$AR$9,0))-SUM(F76:AO76),MAX(0,'Vergi'!AP51-SUM(AP53:AP75))),0)</f>
        <v/>
      </c>
      <c r="AQ76" s="18">
        <f>IF(AND('Zaman'!AQ9&gt;24,'Zaman'!AQ9-24&lt;=5),MIN(INDEX('Vergi'!$F$50:$AR$50,MATCH(24,'Zaman'!$F$9:$AR$9,0))-SUM(F76:AP76),MAX(0,'Vergi'!AQ51-SUM(AQ53:AQ75))),0)</f>
        <v/>
      </c>
      <c r="AR76" s="18">
        <f>IF(AND('Zaman'!AR9&gt;24,'Zaman'!AR9-24&lt;=5),MIN(INDEX('Vergi'!$F$50:$AR$50,MATCH(24,'Zaman'!$F$9:$AR$9,0))-SUM(F76:AQ76),MAX(0,'Vergi'!AR51-SUM(AR53:AR75))),0)</f>
        <v/>
      </c>
    </row>
    <row r="77">
      <c r="A77" t="inlineStr">
        <is>
          <t>Zarar yılı 25 — kullanım</t>
        </is>
      </c>
      <c r="B77" t="inlineStr">
        <is>
          <t>USD</t>
        </is>
      </c>
      <c r="F77" s="18">
        <f>IF(AND('Zaman'!F9&gt;25,'Zaman'!F9-25&lt;=5),MIN(INDEX('Vergi'!$F$50:$AR$50,MATCH(25,'Zaman'!$F$9:$AR$9,0))-0,MAX(0,'Vergi'!F51-SUM(F53:F76))),0)</f>
        <v/>
      </c>
      <c r="G77" s="18">
        <f>IF(AND('Zaman'!G9&gt;25,'Zaman'!G9-25&lt;=5),MIN(INDEX('Vergi'!$F$50:$AR$50,MATCH(25,'Zaman'!$F$9:$AR$9,0))-SUM(F77:F77),MAX(0,'Vergi'!G51-SUM(G53:G76))),0)</f>
        <v/>
      </c>
      <c r="H77" s="18">
        <f>IF(AND('Zaman'!H9&gt;25,'Zaman'!H9-25&lt;=5),MIN(INDEX('Vergi'!$F$50:$AR$50,MATCH(25,'Zaman'!$F$9:$AR$9,0))-SUM(F77:G77),MAX(0,'Vergi'!H51-SUM(H53:H76))),0)</f>
        <v/>
      </c>
      <c r="I77" s="18">
        <f>IF(AND('Zaman'!I9&gt;25,'Zaman'!I9-25&lt;=5),MIN(INDEX('Vergi'!$F$50:$AR$50,MATCH(25,'Zaman'!$F$9:$AR$9,0))-SUM(F77:H77),MAX(0,'Vergi'!I51-SUM(I53:I76))),0)</f>
        <v/>
      </c>
      <c r="J77" s="18">
        <f>IF(AND('Zaman'!J9&gt;25,'Zaman'!J9-25&lt;=5),MIN(INDEX('Vergi'!$F$50:$AR$50,MATCH(25,'Zaman'!$F$9:$AR$9,0))-SUM(F77:I77),MAX(0,'Vergi'!J51-SUM(J53:J76))),0)</f>
        <v/>
      </c>
      <c r="K77" s="18">
        <f>IF(AND('Zaman'!K9&gt;25,'Zaman'!K9-25&lt;=5),MIN(INDEX('Vergi'!$F$50:$AR$50,MATCH(25,'Zaman'!$F$9:$AR$9,0))-SUM(F77:J77),MAX(0,'Vergi'!K51-SUM(K53:K76))),0)</f>
        <v/>
      </c>
      <c r="L77" s="18">
        <f>IF(AND('Zaman'!L9&gt;25,'Zaman'!L9-25&lt;=5),MIN(INDEX('Vergi'!$F$50:$AR$50,MATCH(25,'Zaman'!$F$9:$AR$9,0))-SUM(F77:K77),MAX(0,'Vergi'!L51-SUM(L53:L76))),0)</f>
        <v/>
      </c>
      <c r="M77" s="18">
        <f>IF(AND('Zaman'!M9&gt;25,'Zaman'!M9-25&lt;=5),MIN(INDEX('Vergi'!$F$50:$AR$50,MATCH(25,'Zaman'!$F$9:$AR$9,0))-SUM(F77:L77),MAX(0,'Vergi'!M51-SUM(M53:M76))),0)</f>
        <v/>
      </c>
      <c r="N77" s="18">
        <f>IF(AND('Zaman'!N9&gt;25,'Zaman'!N9-25&lt;=5),MIN(INDEX('Vergi'!$F$50:$AR$50,MATCH(25,'Zaman'!$F$9:$AR$9,0))-SUM(F77:M77),MAX(0,'Vergi'!N51-SUM(N53:N76))),0)</f>
        <v/>
      </c>
      <c r="O77" s="18">
        <f>IF(AND('Zaman'!O9&gt;25,'Zaman'!O9-25&lt;=5),MIN(INDEX('Vergi'!$F$50:$AR$50,MATCH(25,'Zaman'!$F$9:$AR$9,0))-SUM(F77:N77),MAX(0,'Vergi'!O51-SUM(O53:O76))),0)</f>
        <v/>
      </c>
      <c r="P77" s="18">
        <f>IF(AND('Zaman'!P9&gt;25,'Zaman'!P9-25&lt;=5),MIN(INDEX('Vergi'!$F$50:$AR$50,MATCH(25,'Zaman'!$F$9:$AR$9,0))-SUM(F77:O77),MAX(0,'Vergi'!P51-SUM(P53:P76))),0)</f>
        <v/>
      </c>
      <c r="Q77" s="18">
        <f>IF(AND('Zaman'!Q9&gt;25,'Zaman'!Q9-25&lt;=5),MIN(INDEX('Vergi'!$F$50:$AR$50,MATCH(25,'Zaman'!$F$9:$AR$9,0))-SUM(F77:P77),MAX(0,'Vergi'!Q51-SUM(Q53:Q76))),0)</f>
        <v/>
      </c>
      <c r="R77" s="18">
        <f>IF(AND('Zaman'!R9&gt;25,'Zaman'!R9-25&lt;=5),MIN(INDEX('Vergi'!$F$50:$AR$50,MATCH(25,'Zaman'!$F$9:$AR$9,0))-SUM(F77:Q77),MAX(0,'Vergi'!R51-SUM(R53:R76))),0)</f>
        <v/>
      </c>
      <c r="S77" s="18">
        <f>IF(AND('Zaman'!S9&gt;25,'Zaman'!S9-25&lt;=5),MIN(INDEX('Vergi'!$F$50:$AR$50,MATCH(25,'Zaman'!$F$9:$AR$9,0))-SUM(F77:R77),MAX(0,'Vergi'!S51-SUM(S53:S76))),0)</f>
        <v/>
      </c>
      <c r="T77" s="18">
        <f>IF(AND('Zaman'!T9&gt;25,'Zaman'!T9-25&lt;=5),MIN(INDEX('Vergi'!$F$50:$AR$50,MATCH(25,'Zaman'!$F$9:$AR$9,0))-SUM(F77:S77),MAX(0,'Vergi'!T51-SUM(T53:T76))),0)</f>
        <v/>
      </c>
      <c r="U77" s="18">
        <f>IF(AND('Zaman'!U9&gt;25,'Zaman'!U9-25&lt;=5),MIN(INDEX('Vergi'!$F$50:$AR$50,MATCH(25,'Zaman'!$F$9:$AR$9,0))-SUM(F77:T77),MAX(0,'Vergi'!U51-SUM(U53:U76))),0)</f>
        <v/>
      </c>
      <c r="V77" s="18">
        <f>IF(AND('Zaman'!V9&gt;25,'Zaman'!V9-25&lt;=5),MIN(INDEX('Vergi'!$F$50:$AR$50,MATCH(25,'Zaman'!$F$9:$AR$9,0))-SUM(F77:U77),MAX(0,'Vergi'!V51-SUM(V53:V76))),0)</f>
        <v/>
      </c>
      <c r="W77" s="18">
        <f>IF(AND('Zaman'!W9&gt;25,'Zaman'!W9-25&lt;=5),MIN(INDEX('Vergi'!$F$50:$AR$50,MATCH(25,'Zaman'!$F$9:$AR$9,0))-SUM(F77:V77),MAX(0,'Vergi'!W51-SUM(W53:W76))),0)</f>
        <v/>
      </c>
      <c r="X77" s="18">
        <f>IF(AND('Zaman'!X9&gt;25,'Zaman'!X9-25&lt;=5),MIN(INDEX('Vergi'!$F$50:$AR$50,MATCH(25,'Zaman'!$F$9:$AR$9,0))-SUM(F77:W77),MAX(0,'Vergi'!X51-SUM(X53:X76))),0)</f>
        <v/>
      </c>
      <c r="Y77" s="18">
        <f>IF(AND('Zaman'!Y9&gt;25,'Zaman'!Y9-25&lt;=5),MIN(INDEX('Vergi'!$F$50:$AR$50,MATCH(25,'Zaman'!$F$9:$AR$9,0))-SUM(F77:X77),MAX(0,'Vergi'!Y51-SUM(Y53:Y76))),0)</f>
        <v/>
      </c>
      <c r="Z77" s="18">
        <f>IF(AND('Zaman'!Z9&gt;25,'Zaman'!Z9-25&lt;=5),MIN(INDEX('Vergi'!$F$50:$AR$50,MATCH(25,'Zaman'!$F$9:$AR$9,0))-SUM(F77:Y77),MAX(0,'Vergi'!Z51-SUM(Z53:Z76))),0)</f>
        <v/>
      </c>
      <c r="AA77" s="18">
        <f>IF(AND('Zaman'!AA9&gt;25,'Zaman'!AA9-25&lt;=5),MIN(INDEX('Vergi'!$F$50:$AR$50,MATCH(25,'Zaman'!$F$9:$AR$9,0))-SUM(F77:Z77),MAX(0,'Vergi'!AA51-SUM(AA53:AA76))),0)</f>
        <v/>
      </c>
      <c r="AB77" s="18">
        <f>IF(AND('Zaman'!AB9&gt;25,'Zaman'!AB9-25&lt;=5),MIN(INDEX('Vergi'!$F$50:$AR$50,MATCH(25,'Zaman'!$F$9:$AR$9,0))-SUM(F77:AA77),MAX(0,'Vergi'!AB51-SUM(AB53:AB76))),0)</f>
        <v/>
      </c>
      <c r="AC77" s="18">
        <f>IF(AND('Zaman'!AC9&gt;25,'Zaman'!AC9-25&lt;=5),MIN(INDEX('Vergi'!$F$50:$AR$50,MATCH(25,'Zaman'!$F$9:$AR$9,0))-SUM(F77:AB77),MAX(0,'Vergi'!AC51-SUM(AC53:AC76))),0)</f>
        <v/>
      </c>
      <c r="AD77" s="18">
        <f>IF(AND('Zaman'!AD9&gt;25,'Zaman'!AD9-25&lt;=5),MIN(INDEX('Vergi'!$F$50:$AR$50,MATCH(25,'Zaman'!$F$9:$AR$9,0))-SUM(F77:AC77),MAX(0,'Vergi'!AD51-SUM(AD53:AD76))),0)</f>
        <v/>
      </c>
      <c r="AE77" s="18">
        <f>IF(AND('Zaman'!AE9&gt;25,'Zaman'!AE9-25&lt;=5),MIN(INDEX('Vergi'!$F$50:$AR$50,MATCH(25,'Zaman'!$F$9:$AR$9,0))-SUM(F77:AD77),MAX(0,'Vergi'!AE51-SUM(AE53:AE76))),0)</f>
        <v/>
      </c>
      <c r="AF77" s="18">
        <f>IF(AND('Zaman'!AF9&gt;25,'Zaman'!AF9-25&lt;=5),MIN(INDEX('Vergi'!$F$50:$AR$50,MATCH(25,'Zaman'!$F$9:$AR$9,0))-SUM(F77:AE77),MAX(0,'Vergi'!AF51-SUM(AF53:AF76))),0)</f>
        <v/>
      </c>
      <c r="AG77" s="18">
        <f>IF(AND('Zaman'!AG9&gt;25,'Zaman'!AG9-25&lt;=5),MIN(INDEX('Vergi'!$F$50:$AR$50,MATCH(25,'Zaman'!$F$9:$AR$9,0))-SUM(F77:AF77),MAX(0,'Vergi'!AG51-SUM(AG53:AG76))),0)</f>
        <v/>
      </c>
      <c r="AH77" s="18">
        <f>IF(AND('Zaman'!AH9&gt;25,'Zaman'!AH9-25&lt;=5),MIN(INDEX('Vergi'!$F$50:$AR$50,MATCH(25,'Zaman'!$F$9:$AR$9,0))-SUM(F77:AG77),MAX(0,'Vergi'!AH51-SUM(AH53:AH76))),0)</f>
        <v/>
      </c>
      <c r="AI77" s="18">
        <f>IF(AND('Zaman'!AI9&gt;25,'Zaman'!AI9-25&lt;=5),MIN(INDEX('Vergi'!$F$50:$AR$50,MATCH(25,'Zaman'!$F$9:$AR$9,0))-SUM(F77:AH77),MAX(0,'Vergi'!AI51-SUM(AI53:AI76))),0)</f>
        <v/>
      </c>
      <c r="AJ77" s="18">
        <f>IF(AND('Zaman'!AJ9&gt;25,'Zaman'!AJ9-25&lt;=5),MIN(INDEX('Vergi'!$F$50:$AR$50,MATCH(25,'Zaman'!$F$9:$AR$9,0))-SUM(F77:AI77),MAX(0,'Vergi'!AJ51-SUM(AJ53:AJ76))),0)</f>
        <v/>
      </c>
      <c r="AK77" s="18">
        <f>IF(AND('Zaman'!AK9&gt;25,'Zaman'!AK9-25&lt;=5),MIN(INDEX('Vergi'!$F$50:$AR$50,MATCH(25,'Zaman'!$F$9:$AR$9,0))-SUM(F77:AJ77),MAX(0,'Vergi'!AK51-SUM(AK53:AK76))),0)</f>
        <v/>
      </c>
      <c r="AL77" s="18">
        <f>IF(AND('Zaman'!AL9&gt;25,'Zaman'!AL9-25&lt;=5),MIN(INDEX('Vergi'!$F$50:$AR$50,MATCH(25,'Zaman'!$F$9:$AR$9,0))-SUM(F77:AK77),MAX(0,'Vergi'!AL51-SUM(AL53:AL76))),0)</f>
        <v/>
      </c>
      <c r="AM77" s="18">
        <f>IF(AND('Zaman'!AM9&gt;25,'Zaman'!AM9-25&lt;=5),MIN(INDEX('Vergi'!$F$50:$AR$50,MATCH(25,'Zaman'!$F$9:$AR$9,0))-SUM(F77:AL77),MAX(0,'Vergi'!AM51-SUM(AM53:AM76))),0)</f>
        <v/>
      </c>
      <c r="AN77" s="18">
        <f>IF(AND('Zaman'!AN9&gt;25,'Zaman'!AN9-25&lt;=5),MIN(INDEX('Vergi'!$F$50:$AR$50,MATCH(25,'Zaman'!$F$9:$AR$9,0))-SUM(F77:AM77),MAX(0,'Vergi'!AN51-SUM(AN53:AN76))),0)</f>
        <v/>
      </c>
      <c r="AO77" s="18">
        <f>IF(AND('Zaman'!AO9&gt;25,'Zaman'!AO9-25&lt;=5),MIN(INDEX('Vergi'!$F$50:$AR$50,MATCH(25,'Zaman'!$F$9:$AR$9,0))-SUM(F77:AN77),MAX(0,'Vergi'!AO51-SUM(AO53:AO76))),0)</f>
        <v/>
      </c>
      <c r="AP77" s="18">
        <f>IF(AND('Zaman'!AP9&gt;25,'Zaman'!AP9-25&lt;=5),MIN(INDEX('Vergi'!$F$50:$AR$50,MATCH(25,'Zaman'!$F$9:$AR$9,0))-SUM(F77:AO77),MAX(0,'Vergi'!AP51-SUM(AP53:AP76))),0)</f>
        <v/>
      </c>
      <c r="AQ77" s="18">
        <f>IF(AND('Zaman'!AQ9&gt;25,'Zaman'!AQ9-25&lt;=5),MIN(INDEX('Vergi'!$F$50:$AR$50,MATCH(25,'Zaman'!$F$9:$AR$9,0))-SUM(F77:AP77),MAX(0,'Vergi'!AQ51-SUM(AQ53:AQ76))),0)</f>
        <v/>
      </c>
      <c r="AR77" s="18">
        <f>IF(AND('Zaman'!AR9&gt;25,'Zaman'!AR9-25&lt;=5),MIN(INDEX('Vergi'!$F$50:$AR$50,MATCH(25,'Zaman'!$F$9:$AR$9,0))-SUM(F77:AQ77),MAX(0,'Vergi'!AR51-SUM(AR53:AR76))),0)</f>
        <v/>
      </c>
    </row>
    <row r="78">
      <c r="A78" t="inlineStr">
        <is>
          <t>Zarar yılı 26 — kullanım</t>
        </is>
      </c>
      <c r="B78" t="inlineStr">
        <is>
          <t>USD</t>
        </is>
      </c>
      <c r="F78" s="18">
        <f>IF(AND('Zaman'!F9&gt;26,'Zaman'!F9-26&lt;=5),MIN(INDEX('Vergi'!$F$50:$AR$50,MATCH(26,'Zaman'!$F$9:$AR$9,0))-0,MAX(0,'Vergi'!F51-SUM(F53:F77))),0)</f>
        <v/>
      </c>
      <c r="G78" s="18">
        <f>IF(AND('Zaman'!G9&gt;26,'Zaman'!G9-26&lt;=5),MIN(INDEX('Vergi'!$F$50:$AR$50,MATCH(26,'Zaman'!$F$9:$AR$9,0))-SUM(F78:F78),MAX(0,'Vergi'!G51-SUM(G53:G77))),0)</f>
        <v/>
      </c>
      <c r="H78" s="18">
        <f>IF(AND('Zaman'!H9&gt;26,'Zaman'!H9-26&lt;=5),MIN(INDEX('Vergi'!$F$50:$AR$50,MATCH(26,'Zaman'!$F$9:$AR$9,0))-SUM(F78:G78),MAX(0,'Vergi'!H51-SUM(H53:H77))),0)</f>
        <v/>
      </c>
      <c r="I78" s="18">
        <f>IF(AND('Zaman'!I9&gt;26,'Zaman'!I9-26&lt;=5),MIN(INDEX('Vergi'!$F$50:$AR$50,MATCH(26,'Zaman'!$F$9:$AR$9,0))-SUM(F78:H78),MAX(0,'Vergi'!I51-SUM(I53:I77))),0)</f>
        <v/>
      </c>
      <c r="J78" s="18">
        <f>IF(AND('Zaman'!J9&gt;26,'Zaman'!J9-26&lt;=5),MIN(INDEX('Vergi'!$F$50:$AR$50,MATCH(26,'Zaman'!$F$9:$AR$9,0))-SUM(F78:I78),MAX(0,'Vergi'!J51-SUM(J53:J77))),0)</f>
        <v/>
      </c>
      <c r="K78" s="18">
        <f>IF(AND('Zaman'!K9&gt;26,'Zaman'!K9-26&lt;=5),MIN(INDEX('Vergi'!$F$50:$AR$50,MATCH(26,'Zaman'!$F$9:$AR$9,0))-SUM(F78:J78),MAX(0,'Vergi'!K51-SUM(K53:K77))),0)</f>
        <v/>
      </c>
      <c r="L78" s="18">
        <f>IF(AND('Zaman'!L9&gt;26,'Zaman'!L9-26&lt;=5),MIN(INDEX('Vergi'!$F$50:$AR$50,MATCH(26,'Zaman'!$F$9:$AR$9,0))-SUM(F78:K78),MAX(0,'Vergi'!L51-SUM(L53:L77))),0)</f>
        <v/>
      </c>
      <c r="M78" s="18">
        <f>IF(AND('Zaman'!M9&gt;26,'Zaman'!M9-26&lt;=5),MIN(INDEX('Vergi'!$F$50:$AR$50,MATCH(26,'Zaman'!$F$9:$AR$9,0))-SUM(F78:L78),MAX(0,'Vergi'!M51-SUM(M53:M77))),0)</f>
        <v/>
      </c>
      <c r="N78" s="18">
        <f>IF(AND('Zaman'!N9&gt;26,'Zaman'!N9-26&lt;=5),MIN(INDEX('Vergi'!$F$50:$AR$50,MATCH(26,'Zaman'!$F$9:$AR$9,0))-SUM(F78:M78),MAX(0,'Vergi'!N51-SUM(N53:N77))),0)</f>
        <v/>
      </c>
      <c r="O78" s="18">
        <f>IF(AND('Zaman'!O9&gt;26,'Zaman'!O9-26&lt;=5),MIN(INDEX('Vergi'!$F$50:$AR$50,MATCH(26,'Zaman'!$F$9:$AR$9,0))-SUM(F78:N78),MAX(0,'Vergi'!O51-SUM(O53:O77))),0)</f>
        <v/>
      </c>
      <c r="P78" s="18">
        <f>IF(AND('Zaman'!P9&gt;26,'Zaman'!P9-26&lt;=5),MIN(INDEX('Vergi'!$F$50:$AR$50,MATCH(26,'Zaman'!$F$9:$AR$9,0))-SUM(F78:O78),MAX(0,'Vergi'!P51-SUM(P53:P77))),0)</f>
        <v/>
      </c>
      <c r="Q78" s="18">
        <f>IF(AND('Zaman'!Q9&gt;26,'Zaman'!Q9-26&lt;=5),MIN(INDEX('Vergi'!$F$50:$AR$50,MATCH(26,'Zaman'!$F$9:$AR$9,0))-SUM(F78:P78),MAX(0,'Vergi'!Q51-SUM(Q53:Q77))),0)</f>
        <v/>
      </c>
      <c r="R78" s="18">
        <f>IF(AND('Zaman'!R9&gt;26,'Zaman'!R9-26&lt;=5),MIN(INDEX('Vergi'!$F$50:$AR$50,MATCH(26,'Zaman'!$F$9:$AR$9,0))-SUM(F78:Q78),MAX(0,'Vergi'!R51-SUM(R53:R77))),0)</f>
        <v/>
      </c>
      <c r="S78" s="18">
        <f>IF(AND('Zaman'!S9&gt;26,'Zaman'!S9-26&lt;=5),MIN(INDEX('Vergi'!$F$50:$AR$50,MATCH(26,'Zaman'!$F$9:$AR$9,0))-SUM(F78:R78),MAX(0,'Vergi'!S51-SUM(S53:S77))),0)</f>
        <v/>
      </c>
      <c r="T78" s="18">
        <f>IF(AND('Zaman'!T9&gt;26,'Zaman'!T9-26&lt;=5),MIN(INDEX('Vergi'!$F$50:$AR$50,MATCH(26,'Zaman'!$F$9:$AR$9,0))-SUM(F78:S78),MAX(0,'Vergi'!T51-SUM(T53:T77))),0)</f>
        <v/>
      </c>
      <c r="U78" s="18">
        <f>IF(AND('Zaman'!U9&gt;26,'Zaman'!U9-26&lt;=5),MIN(INDEX('Vergi'!$F$50:$AR$50,MATCH(26,'Zaman'!$F$9:$AR$9,0))-SUM(F78:T78),MAX(0,'Vergi'!U51-SUM(U53:U77))),0)</f>
        <v/>
      </c>
      <c r="V78" s="18">
        <f>IF(AND('Zaman'!V9&gt;26,'Zaman'!V9-26&lt;=5),MIN(INDEX('Vergi'!$F$50:$AR$50,MATCH(26,'Zaman'!$F$9:$AR$9,0))-SUM(F78:U78),MAX(0,'Vergi'!V51-SUM(V53:V77))),0)</f>
        <v/>
      </c>
      <c r="W78" s="18">
        <f>IF(AND('Zaman'!W9&gt;26,'Zaman'!W9-26&lt;=5),MIN(INDEX('Vergi'!$F$50:$AR$50,MATCH(26,'Zaman'!$F$9:$AR$9,0))-SUM(F78:V78),MAX(0,'Vergi'!W51-SUM(W53:W77))),0)</f>
        <v/>
      </c>
      <c r="X78" s="18">
        <f>IF(AND('Zaman'!X9&gt;26,'Zaman'!X9-26&lt;=5),MIN(INDEX('Vergi'!$F$50:$AR$50,MATCH(26,'Zaman'!$F$9:$AR$9,0))-SUM(F78:W78),MAX(0,'Vergi'!X51-SUM(X53:X77))),0)</f>
        <v/>
      </c>
      <c r="Y78" s="18">
        <f>IF(AND('Zaman'!Y9&gt;26,'Zaman'!Y9-26&lt;=5),MIN(INDEX('Vergi'!$F$50:$AR$50,MATCH(26,'Zaman'!$F$9:$AR$9,0))-SUM(F78:X78),MAX(0,'Vergi'!Y51-SUM(Y53:Y77))),0)</f>
        <v/>
      </c>
      <c r="Z78" s="18">
        <f>IF(AND('Zaman'!Z9&gt;26,'Zaman'!Z9-26&lt;=5),MIN(INDEX('Vergi'!$F$50:$AR$50,MATCH(26,'Zaman'!$F$9:$AR$9,0))-SUM(F78:Y78),MAX(0,'Vergi'!Z51-SUM(Z53:Z77))),0)</f>
        <v/>
      </c>
      <c r="AA78" s="18">
        <f>IF(AND('Zaman'!AA9&gt;26,'Zaman'!AA9-26&lt;=5),MIN(INDEX('Vergi'!$F$50:$AR$50,MATCH(26,'Zaman'!$F$9:$AR$9,0))-SUM(F78:Z78),MAX(0,'Vergi'!AA51-SUM(AA53:AA77))),0)</f>
        <v/>
      </c>
      <c r="AB78" s="18">
        <f>IF(AND('Zaman'!AB9&gt;26,'Zaman'!AB9-26&lt;=5),MIN(INDEX('Vergi'!$F$50:$AR$50,MATCH(26,'Zaman'!$F$9:$AR$9,0))-SUM(F78:AA78),MAX(0,'Vergi'!AB51-SUM(AB53:AB77))),0)</f>
        <v/>
      </c>
      <c r="AC78" s="18">
        <f>IF(AND('Zaman'!AC9&gt;26,'Zaman'!AC9-26&lt;=5),MIN(INDEX('Vergi'!$F$50:$AR$50,MATCH(26,'Zaman'!$F$9:$AR$9,0))-SUM(F78:AB78),MAX(0,'Vergi'!AC51-SUM(AC53:AC77))),0)</f>
        <v/>
      </c>
      <c r="AD78" s="18">
        <f>IF(AND('Zaman'!AD9&gt;26,'Zaman'!AD9-26&lt;=5),MIN(INDEX('Vergi'!$F$50:$AR$50,MATCH(26,'Zaman'!$F$9:$AR$9,0))-SUM(F78:AC78),MAX(0,'Vergi'!AD51-SUM(AD53:AD77))),0)</f>
        <v/>
      </c>
      <c r="AE78" s="18">
        <f>IF(AND('Zaman'!AE9&gt;26,'Zaman'!AE9-26&lt;=5),MIN(INDEX('Vergi'!$F$50:$AR$50,MATCH(26,'Zaman'!$F$9:$AR$9,0))-SUM(F78:AD78),MAX(0,'Vergi'!AE51-SUM(AE53:AE77))),0)</f>
        <v/>
      </c>
      <c r="AF78" s="18">
        <f>IF(AND('Zaman'!AF9&gt;26,'Zaman'!AF9-26&lt;=5),MIN(INDEX('Vergi'!$F$50:$AR$50,MATCH(26,'Zaman'!$F$9:$AR$9,0))-SUM(F78:AE78),MAX(0,'Vergi'!AF51-SUM(AF53:AF77))),0)</f>
        <v/>
      </c>
      <c r="AG78" s="18">
        <f>IF(AND('Zaman'!AG9&gt;26,'Zaman'!AG9-26&lt;=5),MIN(INDEX('Vergi'!$F$50:$AR$50,MATCH(26,'Zaman'!$F$9:$AR$9,0))-SUM(F78:AF78),MAX(0,'Vergi'!AG51-SUM(AG53:AG77))),0)</f>
        <v/>
      </c>
      <c r="AH78" s="18">
        <f>IF(AND('Zaman'!AH9&gt;26,'Zaman'!AH9-26&lt;=5),MIN(INDEX('Vergi'!$F$50:$AR$50,MATCH(26,'Zaman'!$F$9:$AR$9,0))-SUM(F78:AG78),MAX(0,'Vergi'!AH51-SUM(AH53:AH77))),0)</f>
        <v/>
      </c>
      <c r="AI78" s="18">
        <f>IF(AND('Zaman'!AI9&gt;26,'Zaman'!AI9-26&lt;=5),MIN(INDEX('Vergi'!$F$50:$AR$50,MATCH(26,'Zaman'!$F$9:$AR$9,0))-SUM(F78:AH78),MAX(0,'Vergi'!AI51-SUM(AI53:AI77))),0)</f>
        <v/>
      </c>
      <c r="AJ78" s="18">
        <f>IF(AND('Zaman'!AJ9&gt;26,'Zaman'!AJ9-26&lt;=5),MIN(INDEX('Vergi'!$F$50:$AR$50,MATCH(26,'Zaman'!$F$9:$AR$9,0))-SUM(F78:AI78),MAX(0,'Vergi'!AJ51-SUM(AJ53:AJ77))),0)</f>
        <v/>
      </c>
      <c r="AK78" s="18">
        <f>IF(AND('Zaman'!AK9&gt;26,'Zaman'!AK9-26&lt;=5),MIN(INDEX('Vergi'!$F$50:$AR$50,MATCH(26,'Zaman'!$F$9:$AR$9,0))-SUM(F78:AJ78),MAX(0,'Vergi'!AK51-SUM(AK53:AK77))),0)</f>
        <v/>
      </c>
      <c r="AL78" s="18">
        <f>IF(AND('Zaman'!AL9&gt;26,'Zaman'!AL9-26&lt;=5),MIN(INDEX('Vergi'!$F$50:$AR$50,MATCH(26,'Zaman'!$F$9:$AR$9,0))-SUM(F78:AK78),MAX(0,'Vergi'!AL51-SUM(AL53:AL77))),0)</f>
        <v/>
      </c>
      <c r="AM78" s="18">
        <f>IF(AND('Zaman'!AM9&gt;26,'Zaman'!AM9-26&lt;=5),MIN(INDEX('Vergi'!$F$50:$AR$50,MATCH(26,'Zaman'!$F$9:$AR$9,0))-SUM(F78:AL78),MAX(0,'Vergi'!AM51-SUM(AM53:AM77))),0)</f>
        <v/>
      </c>
      <c r="AN78" s="18">
        <f>IF(AND('Zaman'!AN9&gt;26,'Zaman'!AN9-26&lt;=5),MIN(INDEX('Vergi'!$F$50:$AR$50,MATCH(26,'Zaman'!$F$9:$AR$9,0))-SUM(F78:AM78),MAX(0,'Vergi'!AN51-SUM(AN53:AN77))),0)</f>
        <v/>
      </c>
      <c r="AO78" s="18">
        <f>IF(AND('Zaman'!AO9&gt;26,'Zaman'!AO9-26&lt;=5),MIN(INDEX('Vergi'!$F$50:$AR$50,MATCH(26,'Zaman'!$F$9:$AR$9,0))-SUM(F78:AN78),MAX(0,'Vergi'!AO51-SUM(AO53:AO77))),0)</f>
        <v/>
      </c>
      <c r="AP78" s="18">
        <f>IF(AND('Zaman'!AP9&gt;26,'Zaman'!AP9-26&lt;=5),MIN(INDEX('Vergi'!$F$50:$AR$50,MATCH(26,'Zaman'!$F$9:$AR$9,0))-SUM(F78:AO78),MAX(0,'Vergi'!AP51-SUM(AP53:AP77))),0)</f>
        <v/>
      </c>
      <c r="AQ78" s="18">
        <f>IF(AND('Zaman'!AQ9&gt;26,'Zaman'!AQ9-26&lt;=5),MIN(INDEX('Vergi'!$F$50:$AR$50,MATCH(26,'Zaman'!$F$9:$AR$9,0))-SUM(F78:AP78),MAX(0,'Vergi'!AQ51-SUM(AQ53:AQ77))),0)</f>
        <v/>
      </c>
      <c r="AR78" s="18">
        <f>IF(AND('Zaman'!AR9&gt;26,'Zaman'!AR9-26&lt;=5),MIN(INDEX('Vergi'!$F$50:$AR$50,MATCH(26,'Zaman'!$F$9:$AR$9,0))-SUM(F78:AQ78),MAX(0,'Vergi'!AR51-SUM(AR53:AR77))),0)</f>
        <v/>
      </c>
    </row>
    <row r="79">
      <c r="A79" t="inlineStr">
        <is>
          <t>Zarar yılı 27 — kullanım</t>
        </is>
      </c>
      <c r="B79" t="inlineStr">
        <is>
          <t>USD</t>
        </is>
      </c>
      <c r="F79" s="18">
        <f>IF(AND('Zaman'!F9&gt;27,'Zaman'!F9-27&lt;=5),MIN(INDEX('Vergi'!$F$50:$AR$50,MATCH(27,'Zaman'!$F$9:$AR$9,0))-0,MAX(0,'Vergi'!F51-SUM(F53:F78))),0)</f>
        <v/>
      </c>
      <c r="G79" s="18">
        <f>IF(AND('Zaman'!G9&gt;27,'Zaman'!G9-27&lt;=5),MIN(INDEX('Vergi'!$F$50:$AR$50,MATCH(27,'Zaman'!$F$9:$AR$9,0))-SUM(F79:F79),MAX(0,'Vergi'!G51-SUM(G53:G78))),0)</f>
        <v/>
      </c>
      <c r="H79" s="18">
        <f>IF(AND('Zaman'!H9&gt;27,'Zaman'!H9-27&lt;=5),MIN(INDEX('Vergi'!$F$50:$AR$50,MATCH(27,'Zaman'!$F$9:$AR$9,0))-SUM(F79:G79),MAX(0,'Vergi'!H51-SUM(H53:H78))),0)</f>
        <v/>
      </c>
      <c r="I79" s="18">
        <f>IF(AND('Zaman'!I9&gt;27,'Zaman'!I9-27&lt;=5),MIN(INDEX('Vergi'!$F$50:$AR$50,MATCH(27,'Zaman'!$F$9:$AR$9,0))-SUM(F79:H79),MAX(0,'Vergi'!I51-SUM(I53:I78))),0)</f>
        <v/>
      </c>
      <c r="J79" s="18">
        <f>IF(AND('Zaman'!J9&gt;27,'Zaman'!J9-27&lt;=5),MIN(INDEX('Vergi'!$F$50:$AR$50,MATCH(27,'Zaman'!$F$9:$AR$9,0))-SUM(F79:I79),MAX(0,'Vergi'!J51-SUM(J53:J78))),0)</f>
        <v/>
      </c>
      <c r="K79" s="18">
        <f>IF(AND('Zaman'!K9&gt;27,'Zaman'!K9-27&lt;=5),MIN(INDEX('Vergi'!$F$50:$AR$50,MATCH(27,'Zaman'!$F$9:$AR$9,0))-SUM(F79:J79),MAX(0,'Vergi'!K51-SUM(K53:K78))),0)</f>
        <v/>
      </c>
      <c r="L79" s="18">
        <f>IF(AND('Zaman'!L9&gt;27,'Zaman'!L9-27&lt;=5),MIN(INDEX('Vergi'!$F$50:$AR$50,MATCH(27,'Zaman'!$F$9:$AR$9,0))-SUM(F79:K79),MAX(0,'Vergi'!L51-SUM(L53:L78))),0)</f>
        <v/>
      </c>
      <c r="M79" s="18">
        <f>IF(AND('Zaman'!M9&gt;27,'Zaman'!M9-27&lt;=5),MIN(INDEX('Vergi'!$F$50:$AR$50,MATCH(27,'Zaman'!$F$9:$AR$9,0))-SUM(F79:L79),MAX(0,'Vergi'!M51-SUM(M53:M78))),0)</f>
        <v/>
      </c>
      <c r="N79" s="18">
        <f>IF(AND('Zaman'!N9&gt;27,'Zaman'!N9-27&lt;=5),MIN(INDEX('Vergi'!$F$50:$AR$50,MATCH(27,'Zaman'!$F$9:$AR$9,0))-SUM(F79:M79),MAX(0,'Vergi'!N51-SUM(N53:N78))),0)</f>
        <v/>
      </c>
      <c r="O79" s="18">
        <f>IF(AND('Zaman'!O9&gt;27,'Zaman'!O9-27&lt;=5),MIN(INDEX('Vergi'!$F$50:$AR$50,MATCH(27,'Zaman'!$F$9:$AR$9,0))-SUM(F79:N79),MAX(0,'Vergi'!O51-SUM(O53:O78))),0)</f>
        <v/>
      </c>
      <c r="P79" s="18">
        <f>IF(AND('Zaman'!P9&gt;27,'Zaman'!P9-27&lt;=5),MIN(INDEX('Vergi'!$F$50:$AR$50,MATCH(27,'Zaman'!$F$9:$AR$9,0))-SUM(F79:O79),MAX(0,'Vergi'!P51-SUM(P53:P78))),0)</f>
        <v/>
      </c>
      <c r="Q79" s="18">
        <f>IF(AND('Zaman'!Q9&gt;27,'Zaman'!Q9-27&lt;=5),MIN(INDEX('Vergi'!$F$50:$AR$50,MATCH(27,'Zaman'!$F$9:$AR$9,0))-SUM(F79:P79),MAX(0,'Vergi'!Q51-SUM(Q53:Q78))),0)</f>
        <v/>
      </c>
      <c r="R79" s="18">
        <f>IF(AND('Zaman'!R9&gt;27,'Zaman'!R9-27&lt;=5),MIN(INDEX('Vergi'!$F$50:$AR$50,MATCH(27,'Zaman'!$F$9:$AR$9,0))-SUM(F79:Q79),MAX(0,'Vergi'!R51-SUM(R53:R78))),0)</f>
        <v/>
      </c>
      <c r="S79" s="18">
        <f>IF(AND('Zaman'!S9&gt;27,'Zaman'!S9-27&lt;=5),MIN(INDEX('Vergi'!$F$50:$AR$50,MATCH(27,'Zaman'!$F$9:$AR$9,0))-SUM(F79:R79),MAX(0,'Vergi'!S51-SUM(S53:S78))),0)</f>
        <v/>
      </c>
      <c r="T79" s="18">
        <f>IF(AND('Zaman'!T9&gt;27,'Zaman'!T9-27&lt;=5),MIN(INDEX('Vergi'!$F$50:$AR$50,MATCH(27,'Zaman'!$F$9:$AR$9,0))-SUM(F79:S79),MAX(0,'Vergi'!T51-SUM(T53:T78))),0)</f>
        <v/>
      </c>
      <c r="U79" s="18">
        <f>IF(AND('Zaman'!U9&gt;27,'Zaman'!U9-27&lt;=5),MIN(INDEX('Vergi'!$F$50:$AR$50,MATCH(27,'Zaman'!$F$9:$AR$9,0))-SUM(F79:T79),MAX(0,'Vergi'!U51-SUM(U53:U78))),0)</f>
        <v/>
      </c>
      <c r="V79" s="18">
        <f>IF(AND('Zaman'!V9&gt;27,'Zaman'!V9-27&lt;=5),MIN(INDEX('Vergi'!$F$50:$AR$50,MATCH(27,'Zaman'!$F$9:$AR$9,0))-SUM(F79:U79),MAX(0,'Vergi'!V51-SUM(V53:V78))),0)</f>
        <v/>
      </c>
      <c r="W79" s="18">
        <f>IF(AND('Zaman'!W9&gt;27,'Zaman'!W9-27&lt;=5),MIN(INDEX('Vergi'!$F$50:$AR$50,MATCH(27,'Zaman'!$F$9:$AR$9,0))-SUM(F79:V79),MAX(0,'Vergi'!W51-SUM(W53:W78))),0)</f>
        <v/>
      </c>
      <c r="X79" s="18">
        <f>IF(AND('Zaman'!X9&gt;27,'Zaman'!X9-27&lt;=5),MIN(INDEX('Vergi'!$F$50:$AR$50,MATCH(27,'Zaman'!$F$9:$AR$9,0))-SUM(F79:W79),MAX(0,'Vergi'!X51-SUM(X53:X78))),0)</f>
        <v/>
      </c>
      <c r="Y79" s="18">
        <f>IF(AND('Zaman'!Y9&gt;27,'Zaman'!Y9-27&lt;=5),MIN(INDEX('Vergi'!$F$50:$AR$50,MATCH(27,'Zaman'!$F$9:$AR$9,0))-SUM(F79:X79),MAX(0,'Vergi'!Y51-SUM(Y53:Y78))),0)</f>
        <v/>
      </c>
      <c r="Z79" s="18">
        <f>IF(AND('Zaman'!Z9&gt;27,'Zaman'!Z9-27&lt;=5),MIN(INDEX('Vergi'!$F$50:$AR$50,MATCH(27,'Zaman'!$F$9:$AR$9,0))-SUM(F79:Y79),MAX(0,'Vergi'!Z51-SUM(Z53:Z78))),0)</f>
        <v/>
      </c>
      <c r="AA79" s="18">
        <f>IF(AND('Zaman'!AA9&gt;27,'Zaman'!AA9-27&lt;=5),MIN(INDEX('Vergi'!$F$50:$AR$50,MATCH(27,'Zaman'!$F$9:$AR$9,0))-SUM(F79:Z79),MAX(0,'Vergi'!AA51-SUM(AA53:AA78))),0)</f>
        <v/>
      </c>
      <c r="AB79" s="18">
        <f>IF(AND('Zaman'!AB9&gt;27,'Zaman'!AB9-27&lt;=5),MIN(INDEX('Vergi'!$F$50:$AR$50,MATCH(27,'Zaman'!$F$9:$AR$9,0))-SUM(F79:AA79),MAX(0,'Vergi'!AB51-SUM(AB53:AB78))),0)</f>
        <v/>
      </c>
      <c r="AC79" s="18">
        <f>IF(AND('Zaman'!AC9&gt;27,'Zaman'!AC9-27&lt;=5),MIN(INDEX('Vergi'!$F$50:$AR$50,MATCH(27,'Zaman'!$F$9:$AR$9,0))-SUM(F79:AB79),MAX(0,'Vergi'!AC51-SUM(AC53:AC78))),0)</f>
        <v/>
      </c>
      <c r="AD79" s="18">
        <f>IF(AND('Zaman'!AD9&gt;27,'Zaman'!AD9-27&lt;=5),MIN(INDEX('Vergi'!$F$50:$AR$50,MATCH(27,'Zaman'!$F$9:$AR$9,0))-SUM(F79:AC79),MAX(0,'Vergi'!AD51-SUM(AD53:AD78))),0)</f>
        <v/>
      </c>
      <c r="AE79" s="18">
        <f>IF(AND('Zaman'!AE9&gt;27,'Zaman'!AE9-27&lt;=5),MIN(INDEX('Vergi'!$F$50:$AR$50,MATCH(27,'Zaman'!$F$9:$AR$9,0))-SUM(F79:AD79),MAX(0,'Vergi'!AE51-SUM(AE53:AE78))),0)</f>
        <v/>
      </c>
      <c r="AF79" s="18">
        <f>IF(AND('Zaman'!AF9&gt;27,'Zaman'!AF9-27&lt;=5),MIN(INDEX('Vergi'!$F$50:$AR$50,MATCH(27,'Zaman'!$F$9:$AR$9,0))-SUM(F79:AE79),MAX(0,'Vergi'!AF51-SUM(AF53:AF78))),0)</f>
        <v/>
      </c>
      <c r="AG79" s="18">
        <f>IF(AND('Zaman'!AG9&gt;27,'Zaman'!AG9-27&lt;=5),MIN(INDEX('Vergi'!$F$50:$AR$50,MATCH(27,'Zaman'!$F$9:$AR$9,0))-SUM(F79:AF79),MAX(0,'Vergi'!AG51-SUM(AG53:AG78))),0)</f>
        <v/>
      </c>
      <c r="AH79" s="18">
        <f>IF(AND('Zaman'!AH9&gt;27,'Zaman'!AH9-27&lt;=5),MIN(INDEX('Vergi'!$F$50:$AR$50,MATCH(27,'Zaman'!$F$9:$AR$9,0))-SUM(F79:AG79),MAX(0,'Vergi'!AH51-SUM(AH53:AH78))),0)</f>
        <v/>
      </c>
      <c r="AI79" s="18">
        <f>IF(AND('Zaman'!AI9&gt;27,'Zaman'!AI9-27&lt;=5),MIN(INDEX('Vergi'!$F$50:$AR$50,MATCH(27,'Zaman'!$F$9:$AR$9,0))-SUM(F79:AH79),MAX(0,'Vergi'!AI51-SUM(AI53:AI78))),0)</f>
        <v/>
      </c>
      <c r="AJ79" s="18">
        <f>IF(AND('Zaman'!AJ9&gt;27,'Zaman'!AJ9-27&lt;=5),MIN(INDEX('Vergi'!$F$50:$AR$50,MATCH(27,'Zaman'!$F$9:$AR$9,0))-SUM(F79:AI79),MAX(0,'Vergi'!AJ51-SUM(AJ53:AJ78))),0)</f>
        <v/>
      </c>
      <c r="AK79" s="18">
        <f>IF(AND('Zaman'!AK9&gt;27,'Zaman'!AK9-27&lt;=5),MIN(INDEX('Vergi'!$F$50:$AR$50,MATCH(27,'Zaman'!$F$9:$AR$9,0))-SUM(F79:AJ79),MAX(0,'Vergi'!AK51-SUM(AK53:AK78))),0)</f>
        <v/>
      </c>
      <c r="AL79" s="18">
        <f>IF(AND('Zaman'!AL9&gt;27,'Zaman'!AL9-27&lt;=5),MIN(INDEX('Vergi'!$F$50:$AR$50,MATCH(27,'Zaman'!$F$9:$AR$9,0))-SUM(F79:AK79),MAX(0,'Vergi'!AL51-SUM(AL53:AL78))),0)</f>
        <v/>
      </c>
      <c r="AM79" s="18">
        <f>IF(AND('Zaman'!AM9&gt;27,'Zaman'!AM9-27&lt;=5),MIN(INDEX('Vergi'!$F$50:$AR$50,MATCH(27,'Zaman'!$F$9:$AR$9,0))-SUM(F79:AL79),MAX(0,'Vergi'!AM51-SUM(AM53:AM78))),0)</f>
        <v/>
      </c>
      <c r="AN79" s="18">
        <f>IF(AND('Zaman'!AN9&gt;27,'Zaman'!AN9-27&lt;=5),MIN(INDEX('Vergi'!$F$50:$AR$50,MATCH(27,'Zaman'!$F$9:$AR$9,0))-SUM(F79:AM79),MAX(0,'Vergi'!AN51-SUM(AN53:AN78))),0)</f>
        <v/>
      </c>
      <c r="AO79" s="18">
        <f>IF(AND('Zaman'!AO9&gt;27,'Zaman'!AO9-27&lt;=5),MIN(INDEX('Vergi'!$F$50:$AR$50,MATCH(27,'Zaman'!$F$9:$AR$9,0))-SUM(F79:AN79),MAX(0,'Vergi'!AO51-SUM(AO53:AO78))),0)</f>
        <v/>
      </c>
      <c r="AP79" s="18">
        <f>IF(AND('Zaman'!AP9&gt;27,'Zaman'!AP9-27&lt;=5),MIN(INDEX('Vergi'!$F$50:$AR$50,MATCH(27,'Zaman'!$F$9:$AR$9,0))-SUM(F79:AO79),MAX(0,'Vergi'!AP51-SUM(AP53:AP78))),0)</f>
        <v/>
      </c>
      <c r="AQ79" s="18">
        <f>IF(AND('Zaman'!AQ9&gt;27,'Zaman'!AQ9-27&lt;=5),MIN(INDEX('Vergi'!$F$50:$AR$50,MATCH(27,'Zaman'!$F$9:$AR$9,0))-SUM(F79:AP79),MAX(0,'Vergi'!AQ51-SUM(AQ53:AQ78))),0)</f>
        <v/>
      </c>
      <c r="AR79" s="18">
        <f>IF(AND('Zaman'!AR9&gt;27,'Zaman'!AR9-27&lt;=5),MIN(INDEX('Vergi'!$F$50:$AR$50,MATCH(27,'Zaman'!$F$9:$AR$9,0))-SUM(F79:AQ79),MAX(0,'Vergi'!AR51-SUM(AR53:AR78))),0)</f>
        <v/>
      </c>
    </row>
    <row r="80">
      <c r="A80" t="inlineStr">
        <is>
          <t>Zarar yılı 28 — kullanım</t>
        </is>
      </c>
      <c r="B80" t="inlineStr">
        <is>
          <t>USD</t>
        </is>
      </c>
      <c r="F80" s="18">
        <f>IF(AND('Zaman'!F9&gt;28,'Zaman'!F9-28&lt;=5),MIN(INDEX('Vergi'!$F$50:$AR$50,MATCH(28,'Zaman'!$F$9:$AR$9,0))-0,MAX(0,'Vergi'!F51-SUM(F53:F79))),0)</f>
        <v/>
      </c>
      <c r="G80" s="18">
        <f>IF(AND('Zaman'!G9&gt;28,'Zaman'!G9-28&lt;=5),MIN(INDEX('Vergi'!$F$50:$AR$50,MATCH(28,'Zaman'!$F$9:$AR$9,0))-SUM(F80:F80),MAX(0,'Vergi'!G51-SUM(G53:G79))),0)</f>
        <v/>
      </c>
      <c r="H80" s="18">
        <f>IF(AND('Zaman'!H9&gt;28,'Zaman'!H9-28&lt;=5),MIN(INDEX('Vergi'!$F$50:$AR$50,MATCH(28,'Zaman'!$F$9:$AR$9,0))-SUM(F80:G80),MAX(0,'Vergi'!H51-SUM(H53:H79))),0)</f>
        <v/>
      </c>
      <c r="I80" s="18">
        <f>IF(AND('Zaman'!I9&gt;28,'Zaman'!I9-28&lt;=5),MIN(INDEX('Vergi'!$F$50:$AR$50,MATCH(28,'Zaman'!$F$9:$AR$9,0))-SUM(F80:H80),MAX(0,'Vergi'!I51-SUM(I53:I79))),0)</f>
        <v/>
      </c>
      <c r="J80" s="18">
        <f>IF(AND('Zaman'!J9&gt;28,'Zaman'!J9-28&lt;=5),MIN(INDEX('Vergi'!$F$50:$AR$50,MATCH(28,'Zaman'!$F$9:$AR$9,0))-SUM(F80:I80),MAX(0,'Vergi'!J51-SUM(J53:J79))),0)</f>
        <v/>
      </c>
      <c r="K80" s="18">
        <f>IF(AND('Zaman'!K9&gt;28,'Zaman'!K9-28&lt;=5),MIN(INDEX('Vergi'!$F$50:$AR$50,MATCH(28,'Zaman'!$F$9:$AR$9,0))-SUM(F80:J80),MAX(0,'Vergi'!K51-SUM(K53:K79))),0)</f>
        <v/>
      </c>
      <c r="L80" s="18">
        <f>IF(AND('Zaman'!L9&gt;28,'Zaman'!L9-28&lt;=5),MIN(INDEX('Vergi'!$F$50:$AR$50,MATCH(28,'Zaman'!$F$9:$AR$9,0))-SUM(F80:K80),MAX(0,'Vergi'!L51-SUM(L53:L79))),0)</f>
        <v/>
      </c>
      <c r="M80" s="18">
        <f>IF(AND('Zaman'!M9&gt;28,'Zaman'!M9-28&lt;=5),MIN(INDEX('Vergi'!$F$50:$AR$50,MATCH(28,'Zaman'!$F$9:$AR$9,0))-SUM(F80:L80),MAX(0,'Vergi'!M51-SUM(M53:M79))),0)</f>
        <v/>
      </c>
      <c r="N80" s="18">
        <f>IF(AND('Zaman'!N9&gt;28,'Zaman'!N9-28&lt;=5),MIN(INDEX('Vergi'!$F$50:$AR$50,MATCH(28,'Zaman'!$F$9:$AR$9,0))-SUM(F80:M80),MAX(0,'Vergi'!N51-SUM(N53:N79))),0)</f>
        <v/>
      </c>
      <c r="O80" s="18">
        <f>IF(AND('Zaman'!O9&gt;28,'Zaman'!O9-28&lt;=5),MIN(INDEX('Vergi'!$F$50:$AR$50,MATCH(28,'Zaman'!$F$9:$AR$9,0))-SUM(F80:N80),MAX(0,'Vergi'!O51-SUM(O53:O79))),0)</f>
        <v/>
      </c>
      <c r="P80" s="18">
        <f>IF(AND('Zaman'!P9&gt;28,'Zaman'!P9-28&lt;=5),MIN(INDEX('Vergi'!$F$50:$AR$50,MATCH(28,'Zaman'!$F$9:$AR$9,0))-SUM(F80:O80),MAX(0,'Vergi'!P51-SUM(P53:P79))),0)</f>
        <v/>
      </c>
      <c r="Q80" s="18">
        <f>IF(AND('Zaman'!Q9&gt;28,'Zaman'!Q9-28&lt;=5),MIN(INDEX('Vergi'!$F$50:$AR$50,MATCH(28,'Zaman'!$F$9:$AR$9,0))-SUM(F80:P80),MAX(0,'Vergi'!Q51-SUM(Q53:Q79))),0)</f>
        <v/>
      </c>
      <c r="R80" s="18">
        <f>IF(AND('Zaman'!R9&gt;28,'Zaman'!R9-28&lt;=5),MIN(INDEX('Vergi'!$F$50:$AR$50,MATCH(28,'Zaman'!$F$9:$AR$9,0))-SUM(F80:Q80),MAX(0,'Vergi'!R51-SUM(R53:R79))),0)</f>
        <v/>
      </c>
      <c r="S80" s="18">
        <f>IF(AND('Zaman'!S9&gt;28,'Zaman'!S9-28&lt;=5),MIN(INDEX('Vergi'!$F$50:$AR$50,MATCH(28,'Zaman'!$F$9:$AR$9,0))-SUM(F80:R80),MAX(0,'Vergi'!S51-SUM(S53:S79))),0)</f>
        <v/>
      </c>
      <c r="T80" s="18">
        <f>IF(AND('Zaman'!T9&gt;28,'Zaman'!T9-28&lt;=5),MIN(INDEX('Vergi'!$F$50:$AR$50,MATCH(28,'Zaman'!$F$9:$AR$9,0))-SUM(F80:S80),MAX(0,'Vergi'!T51-SUM(T53:T79))),0)</f>
        <v/>
      </c>
      <c r="U80" s="18">
        <f>IF(AND('Zaman'!U9&gt;28,'Zaman'!U9-28&lt;=5),MIN(INDEX('Vergi'!$F$50:$AR$50,MATCH(28,'Zaman'!$F$9:$AR$9,0))-SUM(F80:T80),MAX(0,'Vergi'!U51-SUM(U53:U79))),0)</f>
        <v/>
      </c>
      <c r="V80" s="18">
        <f>IF(AND('Zaman'!V9&gt;28,'Zaman'!V9-28&lt;=5),MIN(INDEX('Vergi'!$F$50:$AR$50,MATCH(28,'Zaman'!$F$9:$AR$9,0))-SUM(F80:U80),MAX(0,'Vergi'!V51-SUM(V53:V79))),0)</f>
        <v/>
      </c>
      <c r="W80" s="18">
        <f>IF(AND('Zaman'!W9&gt;28,'Zaman'!W9-28&lt;=5),MIN(INDEX('Vergi'!$F$50:$AR$50,MATCH(28,'Zaman'!$F$9:$AR$9,0))-SUM(F80:V80),MAX(0,'Vergi'!W51-SUM(W53:W79))),0)</f>
        <v/>
      </c>
      <c r="X80" s="18">
        <f>IF(AND('Zaman'!X9&gt;28,'Zaman'!X9-28&lt;=5),MIN(INDEX('Vergi'!$F$50:$AR$50,MATCH(28,'Zaman'!$F$9:$AR$9,0))-SUM(F80:W80),MAX(0,'Vergi'!X51-SUM(X53:X79))),0)</f>
        <v/>
      </c>
      <c r="Y80" s="18">
        <f>IF(AND('Zaman'!Y9&gt;28,'Zaman'!Y9-28&lt;=5),MIN(INDEX('Vergi'!$F$50:$AR$50,MATCH(28,'Zaman'!$F$9:$AR$9,0))-SUM(F80:X80),MAX(0,'Vergi'!Y51-SUM(Y53:Y79))),0)</f>
        <v/>
      </c>
      <c r="Z80" s="18">
        <f>IF(AND('Zaman'!Z9&gt;28,'Zaman'!Z9-28&lt;=5),MIN(INDEX('Vergi'!$F$50:$AR$50,MATCH(28,'Zaman'!$F$9:$AR$9,0))-SUM(F80:Y80),MAX(0,'Vergi'!Z51-SUM(Z53:Z79))),0)</f>
        <v/>
      </c>
      <c r="AA80" s="18">
        <f>IF(AND('Zaman'!AA9&gt;28,'Zaman'!AA9-28&lt;=5),MIN(INDEX('Vergi'!$F$50:$AR$50,MATCH(28,'Zaman'!$F$9:$AR$9,0))-SUM(F80:Z80),MAX(0,'Vergi'!AA51-SUM(AA53:AA79))),0)</f>
        <v/>
      </c>
      <c r="AB80" s="18">
        <f>IF(AND('Zaman'!AB9&gt;28,'Zaman'!AB9-28&lt;=5),MIN(INDEX('Vergi'!$F$50:$AR$50,MATCH(28,'Zaman'!$F$9:$AR$9,0))-SUM(F80:AA80),MAX(0,'Vergi'!AB51-SUM(AB53:AB79))),0)</f>
        <v/>
      </c>
      <c r="AC80" s="18">
        <f>IF(AND('Zaman'!AC9&gt;28,'Zaman'!AC9-28&lt;=5),MIN(INDEX('Vergi'!$F$50:$AR$50,MATCH(28,'Zaman'!$F$9:$AR$9,0))-SUM(F80:AB80),MAX(0,'Vergi'!AC51-SUM(AC53:AC79))),0)</f>
        <v/>
      </c>
      <c r="AD80" s="18">
        <f>IF(AND('Zaman'!AD9&gt;28,'Zaman'!AD9-28&lt;=5),MIN(INDEX('Vergi'!$F$50:$AR$50,MATCH(28,'Zaman'!$F$9:$AR$9,0))-SUM(F80:AC80),MAX(0,'Vergi'!AD51-SUM(AD53:AD79))),0)</f>
        <v/>
      </c>
      <c r="AE80" s="18">
        <f>IF(AND('Zaman'!AE9&gt;28,'Zaman'!AE9-28&lt;=5),MIN(INDEX('Vergi'!$F$50:$AR$50,MATCH(28,'Zaman'!$F$9:$AR$9,0))-SUM(F80:AD80),MAX(0,'Vergi'!AE51-SUM(AE53:AE79))),0)</f>
        <v/>
      </c>
      <c r="AF80" s="18">
        <f>IF(AND('Zaman'!AF9&gt;28,'Zaman'!AF9-28&lt;=5),MIN(INDEX('Vergi'!$F$50:$AR$50,MATCH(28,'Zaman'!$F$9:$AR$9,0))-SUM(F80:AE80),MAX(0,'Vergi'!AF51-SUM(AF53:AF79))),0)</f>
        <v/>
      </c>
      <c r="AG80" s="18">
        <f>IF(AND('Zaman'!AG9&gt;28,'Zaman'!AG9-28&lt;=5),MIN(INDEX('Vergi'!$F$50:$AR$50,MATCH(28,'Zaman'!$F$9:$AR$9,0))-SUM(F80:AF80),MAX(0,'Vergi'!AG51-SUM(AG53:AG79))),0)</f>
        <v/>
      </c>
      <c r="AH80" s="18">
        <f>IF(AND('Zaman'!AH9&gt;28,'Zaman'!AH9-28&lt;=5),MIN(INDEX('Vergi'!$F$50:$AR$50,MATCH(28,'Zaman'!$F$9:$AR$9,0))-SUM(F80:AG80),MAX(0,'Vergi'!AH51-SUM(AH53:AH79))),0)</f>
        <v/>
      </c>
      <c r="AI80" s="18">
        <f>IF(AND('Zaman'!AI9&gt;28,'Zaman'!AI9-28&lt;=5),MIN(INDEX('Vergi'!$F$50:$AR$50,MATCH(28,'Zaman'!$F$9:$AR$9,0))-SUM(F80:AH80),MAX(0,'Vergi'!AI51-SUM(AI53:AI79))),0)</f>
        <v/>
      </c>
      <c r="AJ80" s="18">
        <f>IF(AND('Zaman'!AJ9&gt;28,'Zaman'!AJ9-28&lt;=5),MIN(INDEX('Vergi'!$F$50:$AR$50,MATCH(28,'Zaman'!$F$9:$AR$9,0))-SUM(F80:AI80),MAX(0,'Vergi'!AJ51-SUM(AJ53:AJ79))),0)</f>
        <v/>
      </c>
      <c r="AK80" s="18">
        <f>IF(AND('Zaman'!AK9&gt;28,'Zaman'!AK9-28&lt;=5),MIN(INDEX('Vergi'!$F$50:$AR$50,MATCH(28,'Zaman'!$F$9:$AR$9,0))-SUM(F80:AJ80),MAX(0,'Vergi'!AK51-SUM(AK53:AK79))),0)</f>
        <v/>
      </c>
      <c r="AL80" s="18">
        <f>IF(AND('Zaman'!AL9&gt;28,'Zaman'!AL9-28&lt;=5),MIN(INDEX('Vergi'!$F$50:$AR$50,MATCH(28,'Zaman'!$F$9:$AR$9,0))-SUM(F80:AK80),MAX(0,'Vergi'!AL51-SUM(AL53:AL79))),0)</f>
        <v/>
      </c>
      <c r="AM80" s="18">
        <f>IF(AND('Zaman'!AM9&gt;28,'Zaman'!AM9-28&lt;=5),MIN(INDEX('Vergi'!$F$50:$AR$50,MATCH(28,'Zaman'!$F$9:$AR$9,0))-SUM(F80:AL80),MAX(0,'Vergi'!AM51-SUM(AM53:AM79))),0)</f>
        <v/>
      </c>
      <c r="AN80" s="18">
        <f>IF(AND('Zaman'!AN9&gt;28,'Zaman'!AN9-28&lt;=5),MIN(INDEX('Vergi'!$F$50:$AR$50,MATCH(28,'Zaman'!$F$9:$AR$9,0))-SUM(F80:AM80),MAX(0,'Vergi'!AN51-SUM(AN53:AN79))),0)</f>
        <v/>
      </c>
      <c r="AO80" s="18">
        <f>IF(AND('Zaman'!AO9&gt;28,'Zaman'!AO9-28&lt;=5),MIN(INDEX('Vergi'!$F$50:$AR$50,MATCH(28,'Zaman'!$F$9:$AR$9,0))-SUM(F80:AN80),MAX(0,'Vergi'!AO51-SUM(AO53:AO79))),0)</f>
        <v/>
      </c>
      <c r="AP80" s="18">
        <f>IF(AND('Zaman'!AP9&gt;28,'Zaman'!AP9-28&lt;=5),MIN(INDEX('Vergi'!$F$50:$AR$50,MATCH(28,'Zaman'!$F$9:$AR$9,0))-SUM(F80:AO80),MAX(0,'Vergi'!AP51-SUM(AP53:AP79))),0)</f>
        <v/>
      </c>
      <c r="AQ80" s="18">
        <f>IF(AND('Zaman'!AQ9&gt;28,'Zaman'!AQ9-28&lt;=5),MIN(INDEX('Vergi'!$F$50:$AR$50,MATCH(28,'Zaman'!$F$9:$AR$9,0))-SUM(F80:AP80),MAX(0,'Vergi'!AQ51-SUM(AQ53:AQ79))),0)</f>
        <v/>
      </c>
      <c r="AR80" s="18">
        <f>IF(AND('Zaman'!AR9&gt;28,'Zaman'!AR9-28&lt;=5),MIN(INDEX('Vergi'!$F$50:$AR$50,MATCH(28,'Zaman'!$F$9:$AR$9,0))-SUM(F80:AQ80),MAX(0,'Vergi'!AR51-SUM(AR53:AR79))),0)</f>
        <v/>
      </c>
    </row>
    <row r="81">
      <c r="A81" t="inlineStr">
        <is>
          <t>Zarar yılı 29 — kullanım</t>
        </is>
      </c>
      <c r="B81" t="inlineStr">
        <is>
          <t>USD</t>
        </is>
      </c>
      <c r="F81" s="18">
        <f>IF(AND('Zaman'!F9&gt;29,'Zaman'!F9-29&lt;=5),MIN(INDEX('Vergi'!$F$50:$AR$50,MATCH(29,'Zaman'!$F$9:$AR$9,0))-0,MAX(0,'Vergi'!F51-SUM(F53:F80))),0)</f>
        <v/>
      </c>
      <c r="G81" s="18">
        <f>IF(AND('Zaman'!G9&gt;29,'Zaman'!G9-29&lt;=5),MIN(INDEX('Vergi'!$F$50:$AR$50,MATCH(29,'Zaman'!$F$9:$AR$9,0))-SUM(F81:F81),MAX(0,'Vergi'!G51-SUM(G53:G80))),0)</f>
        <v/>
      </c>
      <c r="H81" s="18">
        <f>IF(AND('Zaman'!H9&gt;29,'Zaman'!H9-29&lt;=5),MIN(INDEX('Vergi'!$F$50:$AR$50,MATCH(29,'Zaman'!$F$9:$AR$9,0))-SUM(F81:G81),MAX(0,'Vergi'!H51-SUM(H53:H80))),0)</f>
        <v/>
      </c>
      <c r="I81" s="18">
        <f>IF(AND('Zaman'!I9&gt;29,'Zaman'!I9-29&lt;=5),MIN(INDEX('Vergi'!$F$50:$AR$50,MATCH(29,'Zaman'!$F$9:$AR$9,0))-SUM(F81:H81),MAX(0,'Vergi'!I51-SUM(I53:I80))),0)</f>
        <v/>
      </c>
      <c r="J81" s="18">
        <f>IF(AND('Zaman'!J9&gt;29,'Zaman'!J9-29&lt;=5),MIN(INDEX('Vergi'!$F$50:$AR$50,MATCH(29,'Zaman'!$F$9:$AR$9,0))-SUM(F81:I81),MAX(0,'Vergi'!J51-SUM(J53:J80))),0)</f>
        <v/>
      </c>
      <c r="K81" s="18">
        <f>IF(AND('Zaman'!K9&gt;29,'Zaman'!K9-29&lt;=5),MIN(INDEX('Vergi'!$F$50:$AR$50,MATCH(29,'Zaman'!$F$9:$AR$9,0))-SUM(F81:J81),MAX(0,'Vergi'!K51-SUM(K53:K80))),0)</f>
        <v/>
      </c>
      <c r="L81" s="18">
        <f>IF(AND('Zaman'!L9&gt;29,'Zaman'!L9-29&lt;=5),MIN(INDEX('Vergi'!$F$50:$AR$50,MATCH(29,'Zaman'!$F$9:$AR$9,0))-SUM(F81:K81),MAX(0,'Vergi'!L51-SUM(L53:L80))),0)</f>
        <v/>
      </c>
      <c r="M81" s="18">
        <f>IF(AND('Zaman'!M9&gt;29,'Zaman'!M9-29&lt;=5),MIN(INDEX('Vergi'!$F$50:$AR$50,MATCH(29,'Zaman'!$F$9:$AR$9,0))-SUM(F81:L81),MAX(0,'Vergi'!M51-SUM(M53:M80))),0)</f>
        <v/>
      </c>
      <c r="N81" s="18">
        <f>IF(AND('Zaman'!N9&gt;29,'Zaman'!N9-29&lt;=5),MIN(INDEX('Vergi'!$F$50:$AR$50,MATCH(29,'Zaman'!$F$9:$AR$9,0))-SUM(F81:M81),MAX(0,'Vergi'!N51-SUM(N53:N80))),0)</f>
        <v/>
      </c>
      <c r="O81" s="18">
        <f>IF(AND('Zaman'!O9&gt;29,'Zaman'!O9-29&lt;=5),MIN(INDEX('Vergi'!$F$50:$AR$50,MATCH(29,'Zaman'!$F$9:$AR$9,0))-SUM(F81:N81),MAX(0,'Vergi'!O51-SUM(O53:O80))),0)</f>
        <v/>
      </c>
      <c r="P81" s="18">
        <f>IF(AND('Zaman'!P9&gt;29,'Zaman'!P9-29&lt;=5),MIN(INDEX('Vergi'!$F$50:$AR$50,MATCH(29,'Zaman'!$F$9:$AR$9,0))-SUM(F81:O81),MAX(0,'Vergi'!P51-SUM(P53:P80))),0)</f>
        <v/>
      </c>
      <c r="Q81" s="18">
        <f>IF(AND('Zaman'!Q9&gt;29,'Zaman'!Q9-29&lt;=5),MIN(INDEX('Vergi'!$F$50:$AR$50,MATCH(29,'Zaman'!$F$9:$AR$9,0))-SUM(F81:P81),MAX(0,'Vergi'!Q51-SUM(Q53:Q80))),0)</f>
        <v/>
      </c>
      <c r="R81" s="18">
        <f>IF(AND('Zaman'!R9&gt;29,'Zaman'!R9-29&lt;=5),MIN(INDEX('Vergi'!$F$50:$AR$50,MATCH(29,'Zaman'!$F$9:$AR$9,0))-SUM(F81:Q81),MAX(0,'Vergi'!R51-SUM(R53:R80))),0)</f>
        <v/>
      </c>
      <c r="S81" s="18">
        <f>IF(AND('Zaman'!S9&gt;29,'Zaman'!S9-29&lt;=5),MIN(INDEX('Vergi'!$F$50:$AR$50,MATCH(29,'Zaman'!$F$9:$AR$9,0))-SUM(F81:R81),MAX(0,'Vergi'!S51-SUM(S53:S80))),0)</f>
        <v/>
      </c>
      <c r="T81" s="18">
        <f>IF(AND('Zaman'!T9&gt;29,'Zaman'!T9-29&lt;=5),MIN(INDEX('Vergi'!$F$50:$AR$50,MATCH(29,'Zaman'!$F$9:$AR$9,0))-SUM(F81:S81),MAX(0,'Vergi'!T51-SUM(T53:T80))),0)</f>
        <v/>
      </c>
      <c r="U81" s="18">
        <f>IF(AND('Zaman'!U9&gt;29,'Zaman'!U9-29&lt;=5),MIN(INDEX('Vergi'!$F$50:$AR$50,MATCH(29,'Zaman'!$F$9:$AR$9,0))-SUM(F81:T81),MAX(0,'Vergi'!U51-SUM(U53:U80))),0)</f>
        <v/>
      </c>
      <c r="V81" s="18">
        <f>IF(AND('Zaman'!V9&gt;29,'Zaman'!V9-29&lt;=5),MIN(INDEX('Vergi'!$F$50:$AR$50,MATCH(29,'Zaman'!$F$9:$AR$9,0))-SUM(F81:U81),MAX(0,'Vergi'!V51-SUM(V53:V80))),0)</f>
        <v/>
      </c>
      <c r="W81" s="18">
        <f>IF(AND('Zaman'!W9&gt;29,'Zaman'!W9-29&lt;=5),MIN(INDEX('Vergi'!$F$50:$AR$50,MATCH(29,'Zaman'!$F$9:$AR$9,0))-SUM(F81:V81),MAX(0,'Vergi'!W51-SUM(W53:W80))),0)</f>
        <v/>
      </c>
      <c r="X81" s="18">
        <f>IF(AND('Zaman'!X9&gt;29,'Zaman'!X9-29&lt;=5),MIN(INDEX('Vergi'!$F$50:$AR$50,MATCH(29,'Zaman'!$F$9:$AR$9,0))-SUM(F81:W81),MAX(0,'Vergi'!X51-SUM(X53:X80))),0)</f>
        <v/>
      </c>
      <c r="Y81" s="18">
        <f>IF(AND('Zaman'!Y9&gt;29,'Zaman'!Y9-29&lt;=5),MIN(INDEX('Vergi'!$F$50:$AR$50,MATCH(29,'Zaman'!$F$9:$AR$9,0))-SUM(F81:X81),MAX(0,'Vergi'!Y51-SUM(Y53:Y80))),0)</f>
        <v/>
      </c>
      <c r="Z81" s="18">
        <f>IF(AND('Zaman'!Z9&gt;29,'Zaman'!Z9-29&lt;=5),MIN(INDEX('Vergi'!$F$50:$AR$50,MATCH(29,'Zaman'!$F$9:$AR$9,0))-SUM(F81:Y81),MAX(0,'Vergi'!Z51-SUM(Z53:Z80))),0)</f>
        <v/>
      </c>
      <c r="AA81" s="18">
        <f>IF(AND('Zaman'!AA9&gt;29,'Zaman'!AA9-29&lt;=5),MIN(INDEX('Vergi'!$F$50:$AR$50,MATCH(29,'Zaman'!$F$9:$AR$9,0))-SUM(F81:Z81),MAX(0,'Vergi'!AA51-SUM(AA53:AA80))),0)</f>
        <v/>
      </c>
      <c r="AB81" s="18">
        <f>IF(AND('Zaman'!AB9&gt;29,'Zaman'!AB9-29&lt;=5),MIN(INDEX('Vergi'!$F$50:$AR$50,MATCH(29,'Zaman'!$F$9:$AR$9,0))-SUM(F81:AA81),MAX(0,'Vergi'!AB51-SUM(AB53:AB80))),0)</f>
        <v/>
      </c>
      <c r="AC81" s="18">
        <f>IF(AND('Zaman'!AC9&gt;29,'Zaman'!AC9-29&lt;=5),MIN(INDEX('Vergi'!$F$50:$AR$50,MATCH(29,'Zaman'!$F$9:$AR$9,0))-SUM(F81:AB81),MAX(0,'Vergi'!AC51-SUM(AC53:AC80))),0)</f>
        <v/>
      </c>
      <c r="AD81" s="18">
        <f>IF(AND('Zaman'!AD9&gt;29,'Zaman'!AD9-29&lt;=5),MIN(INDEX('Vergi'!$F$50:$AR$50,MATCH(29,'Zaman'!$F$9:$AR$9,0))-SUM(F81:AC81),MAX(0,'Vergi'!AD51-SUM(AD53:AD80))),0)</f>
        <v/>
      </c>
      <c r="AE81" s="18">
        <f>IF(AND('Zaman'!AE9&gt;29,'Zaman'!AE9-29&lt;=5),MIN(INDEX('Vergi'!$F$50:$AR$50,MATCH(29,'Zaman'!$F$9:$AR$9,0))-SUM(F81:AD81),MAX(0,'Vergi'!AE51-SUM(AE53:AE80))),0)</f>
        <v/>
      </c>
      <c r="AF81" s="18">
        <f>IF(AND('Zaman'!AF9&gt;29,'Zaman'!AF9-29&lt;=5),MIN(INDEX('Vergi'!$F$50:$AR$50,MATCH(29,'Zaman'!$F$9:$AR$9,0))-SUM(F81:AE81),MAX(0,'Vergi'!AF51-SUM(AF53:AF80))),0)</f>
        <v/>
      </c>
      <c r="AG81" s="18">
        <f>IF(AND('Zaman'!AG9&gt;29,'Zaman'!AG9-29&lt;=5),MIN(INDEX('Vergi'!$F$50:$AR$50,MATCH(29,'Zaman'!$F$9:$AR$9,0))-SUM(F81:AF81),MAX(0,'Vergi'!AG51-SUM(AG53:AG80))),0)</f>
        <v/>
      </c>
      <c r="AH81" s="18">
        <f>IF(AND('Zaman'!AH9&gt;29,'Zaman'!AH9-29&lt;=5),MIN(INDEX('Vergi'!$F$50:$AR$50,MATCH(29,'Zaman'!$F$9:$AR$9,0))-SUM(F81:AG81),MAX(0,'Vergi'!AH51-SUM(AH53:AH80))),0)</f>
        <v/>
      </c>
      <c r="AI81" s="18">
        <f>IF(AND('Zaman'!AI9&gt;29,'Zaman'!AI9-29&lt;=5),MIN(INDEX('Vergi'!$F$50:$AR$50,MATCH(29,'Zaman'!$F$9:$AR$9,0))-SUM(F81:AH81),MAX(0,'Vergi'!AI51-SUM(AI53:AI80))),0)</f>
        <v/>
      </c>
      <c r="AJ81" s="18">
        <f>IF(AND('Zaman'!AJ9&gt;29,'Zaman'!AJ9-29&lt;=5),MIN(INDEX('Vergi'!$F$50:$AR$50,MATCH(29,'Zaman'!$F$9:$AR$9,0))-SUM(F81:AI81),MAX(0,'Vergi'!AJ51-SUM(AJ53:AJ80))),0)</f>
        <v/>
      </c>
      <c r="AK81" s="18">
        <f>IF(AND('Zaman'!AK9&gt;29,'Zaman'!AK9-29&lt;=5),MIN(INDEX('Vergi'!$F$50:$AR$50,MATCH(29,'Zaman'!$F$9:$AR$9,0))-SUM(F81:AJ81),MAX(0,'Vergi'!AK51-SUM(AK53:AK80))),0)</f>
        <v/>
      </c>
      <c r="AL81" s="18">
        <f>IF(AND('Zaman'!AL9&gt;29,'Zaman'!AL9-29&lt;=5),MIN(INDEX('Vergi'!$F$50:$AR$50,MATCH(29,'Zaman'!$F$9:$AR$9,0))-SUM(F81:AK81),MAX(0,'Vergi'!AL51-SUM(AL53:AL80))),0)</f>
        <v/>
      </c>
      <c r="AM81" s="18">
        <f>IF(AND('Zaman'!AM9&gt;29,'Zaman'!AM9-29&lt;=5),MIN(INDEX('Vergi'!$F$50:$AR$50,MATCH(29,'Zaman'!$F$9:$AR$9,0))-SUM(F81:AL81),MAX(0,'Vergi'!AM51-SUM(AM53:AM80))),0)</f>
        <v/>
      </c>
      <c r="AN81" s="18">
        <f>IF(AND('Zaman'!AN9&gt;29,'Zaman'!AN9-29&lt;=5),MIN(INDEX('Vergi'!$F$50:$AR$50,MATCH(29,'Zaman'!$F$9:$AR$9,0))-SUM(F81:AM81),MAX(0,'Vergi'!AN51-SUM(AN53:AN80))),0)</f>
        <v/>
      </c>
      <c r="AO81" s="18">
        <f>IF(AND('Zaman'!AO9&gt;29,'Zaman'!AO9-29&lt;=5),MIN(INDEX('Vergi'!$F$50:$AR$50,MATCH(29,'Zaman'!$F$9:$AR$9,0))-SUM(F81:AN81),MAX(0,'Vergi'!AO51-SUM(AO53:AO80))),0)</f>
        <v/>
      </c>
      <c r="AP81" s="18">
        <f>IF(AND('Zaman'!AP9&gt;29,'Zaman'!AP9-29&lt;=5),MIN(INDEX('Vergi'!$F$50:$AR$50,MATCH(29,'Zaman'!$F$9:$AR$9,0))-SUM(F81:AO81),MAX(0,'Vergi'!AP51-SUM(AP53:AP80))),0)</f>
        <v/>
      </c>
      <c r="AQ81" s="18">
        <f>IF(AND('Zaman'!AQ9&gt;29,'Zaman'!AQ9-29&lt;=5),MIN(INDEX('Vergi'!$F$50:$AR$50,MATCH(29,'Zaman'!$F$9:$AR$9,0))-SUM(F81:AP81),MAX(0,'Vergi'!AQ51-SUM(AQ53:AQ80))),0)</f>
        <v/>
      </c>
      <c r="AR81" s="18">
        <f>IF(AND('Zaman'!AR9&gt;29,'Zaman'!AR9-29&lt;=5),MIN(INDEX('Vergi'!$F$50:$AR$50,MATCH(29,'Zaman'!$F$9:$AR$9,0))-SUM(F81:AQ81),MAX(0,'Vergi'!AR51-SUM(AR53:AR80))),0)</f>
        <v/>
      </c>
    </row>
    <row r="82">
      <c r="A82" t="inlineStr">
        <is>
          <t>Zarar yılı 30 — kullanım</t>
        </is>
      </c>
      <c r="B82" t="inlineStr">
        <is>
          <t>USD</t>
        </is>
      </c>
      <c r="F82" s="18">
        <f>IF(AND('Zaman'!F9&gt;30,'Zaman'!F9-30&lt;=5),MIN(INDEX('Vergi'!$F$50:$AR$50,MATCH(30,'Zaman'!$F$9:$AR$9,0))-0,MAX(0,'Vergi'!F51-SUM(F53:F81))),0)</f>
        <v/>
      </c>
      <c r="G82" s="18">
        <f>IF(AND('Zaman'!G9&gt;30,'Zaman'!G9-30&lt;=5),MIN(INDEX('Vergi'!$F$50:$AR$50,MATCH(30,'Zaman'!$F$9:$AR$9,0))-SUM(F82:F82),MAX(0,'Vergi'!G51-SUM(G53:G81))),0)</f>
        <v/>
      </c>
      <c r="H82" s="18">
        <f>IF(AND('Zaman'!H9&gt;30,'Zaman'!H9-30&lt;=5),MIN(INDEX('Vergi'!$F$50:$AR$50,MATCH(30,'Zaman'!$F$9:$AR$9,0))-SUM(F82:G82),MAX(0,'Vergi'!H51-SUM(H53:H81))),0)</f>
        <v/>
      </c>
      <c r="I82" s="18">
        <f>IF(AND('Zaman'!I9&gt;30,'Zaman'!I9-30&lt;=5),MIN(INDEX('Vergi'!$F$50:$AR$50,MATCH(30,'Zaman'!$F$9:$AR$9,0))-SUM(F82:H82),MAX(0,'Vergi'!I51-SUM(I53:I81))),0)</f>
        <v/>
      </c>
      <c r="J82" s="18">
        <f>IF(AND('Zaman'!J9&gt;30,'Zaman'!J9-30&lt;=5),MIN(INDEX('Vergi'!$F$50:$AR$50,MATCH(30,'Zaman'!$F$9:$AR$9,0))-SUM(F82:I82),MAX(0,'Vergi'!J51-SUM(J53:J81))),0)</f>
        <v/>
      </c>
      <c r="K82" s="18">
        <f>IF(AND('Zaman'!K9&gt;30,'Zaman'!K9-30&lt;=5),MIN(INDEX('Vergi'!$F$50:$AR$50,MATCH(30,'Zaman'!$F$9:$AR$9,0))-SUM(F82:J82),MAX(0,'Vergi'!K51-SUM(K53:K81))),0)</f>
        <v/>
      </c>
      <c r="L82" s="18">
        <f>IF(AND('Zaman'!L9&gt;30,'Zaman'!L9-30&lt;=5),MIN(INDEX('Vergi'!$F$50:$AR$50,MATCH(30,'Zaman'!$F$9:$AR$9,0))-SUM(F82:K82),MAX(0,'Vergi'!L51-SUM(L53:L81))),0)</f>
        <v/>
      </c>
      <c r="M82" s="18">
        <f>IF(AND('Zaman'!M9&gt;30,'Zaman'!M9-30&lt;=5),MIN(INDEX('Vergi'!$F$50:$AR$50,MATCH(30,'Zaman'!$F$9:$AR$9,0))-SUM(F82:L82),MAX(0,'Vergi'!M51-SUM(M53:M81))),0)</f>
        <v/>
      </c>
      <c r="N82" s="18">
        <f>IF(AND('Zaman'!N9&gt;30,'Zaman'!N9-30&lt;=5),MIN(INDEX('Vergi'!$F$50:$AR$50,MATCH(30,'Zaman'!$F$9:$AR$9,0))-SUM(F82:M82),MAX(0,'Vergi'!N51-SUM(N53:N81))),0)</f>
        <v/>
      </c>
      <c r="O82" s="18">
        <f>IF(AND('Zaman'!O9&gt;30,'Zaman'!O9-30&lt;=5),MIN(INDEX('Vergi'!$F$50:$AR$50,MATCH(30,'Zaman'!$F$9:$AR$9,0))-SUM(F82:N82),MAX(0,'Vergi'!O51-SUM(O53:O81))),0)</f>
        <v/>
      </c>
      <c r="P82" s="18">
        <f>IF(AND('Zaman'!P9&gt;30,'Zaman'!P9-30&lt;=5),MIN(INDEX('Vergi'!$F$50:$AR$50,MATCH(30,'Zaman'!$F$9:$AR$9,0))-SUM(F82:O82),MAX(0,'Vergi'!P51-SUM(P53:P81))),0)</f>
        <v/>
      </c>
      <c r="Q82" s="18">
        <f>IF(AND('Zaman'!Q9&gt;30,'Zaman'!Q9-30&lt;=5),MIN(INDEX('Vergi'!$F$50:$AR$50,MATCH(30,'Zaman'!$F$9:$AR$9,0))-SUM(F82:P82),MAX(0,'Vergi'!Q51-SUM(Q53:Q81))),0)</f>
        <v/>
      </c>
      <c r="R82" s="18">
        <f>IF(AND('Zaman'!R9&gt;30,'Zaman'!R9-30&lt;=5),MIN(INDEX('Vergi'!$F$50:$AR$50,MATCH(30,'Zaman'!$F$9:$AR$9,0))-SUM(F82:Q82),MAX(0,'Vergi'!R51-SUM(R53:R81))),0)</f>
        <v/>
      </c>
      <c r="S82" s="18">
        <f>IF(AND('Zaman'!S9&gt;30,'Zaman'!S9-30&lt;=5),MIN(INDEX('Vergi'!$F$50:$AR$50,MATCH(30,'Zaman'!$F$9:$AR$9,0))-SUM(F82:R82),MAX(0,'Vergi'!S51-SUM(S53:S81))),0)</f>
        <v/>
      </c>
      <c r="T82" s="18">
        <f>IF(AND('Zaman'!T9&gt;30,'Zaman'!T9-30&lt;=5),MIN(INDEX('Vergi'!$F$50:$AR$50,MATCH(30,'Zaman'!$F$9:$AR$9,0))-SUM(F82:S82),MAX(0,'Vergi'!T51-SUM(T53:T81))),0)</f>
        <v/>
      </c>
      <c r="U82" s="18">
        <f>IF(AND('Zaman'!U9&gt;30,'Zaman'!U9-30&lt;=5),MIN(INDEX('Vergi'!$F$50:$AR$50,MATCH(30,'Zaman'!$F$9:$AR$9,0))-SUM(F82:T82),MAX(0,'Vergi'!U51-SUM(U53:U81))),0)</f>
        <v/>
      </c>
      <c r="V82" s="18">
        <f>IF(AND('Zaman'!V9&gt;30,'Zaman'!V9-30&lt;=5),MIN(INDEX('Vergi'!$F$50:$AR$50,MATCH(30,'Zaman'!$F$9:$AR$9,0))-SUM(F82:U82),MAX(0,'Vergi'!V51-SUM(V53:V81))),0)</f>
        <v/>
      </c>
      <c r="W82" s="18">
        <f>IF(AND('Zaman'!W9&gt;30,'Zaman'!W9-30&lt;=5),MIN(INDEX('Vergi'!$F$50:$AR$50,MATCH(30,'Zaman'!$F$9:$AR$9,0))-SUM(F82:V82),MAX(0,'Vergi'!W51-SUM(W53:W81))),0)</f>
        <v/>
      </c>
      <c r="X82" s="18">
        <f>IF(AND('Zaman'!X9&gt;30,'Zaman'!X9-30&lt;=5),MIN(INDEX('Vergi'!$F$50:$AR$50,MATCH(30,'Zaman'!$F$9:$AR$9,0))-SUM(F82:W82),MAX(0,'Vergi'!X51-SUM(X53:X81))),0)</f>
        <v/>
      </c>
      <c r="Y82" s="18">
        <f>IF(AND('Zaman'!Y9&gt;30,'Zaman'!Y9-30&lt;=5),MIN(INDEX('Vergi'!$F$50:$AR$50,MATCH(30,'Zaman'!$F$9:$AR$9,0))-SUM(F82:X82),MAX(0,'Vergi'!Y51-SUM(Y53:Y81))),0)</f>
        <v/>
      </c>
      <c r="Z82" s="18">
        <f>IF(AND('Zaman'!Z9&gt;30,'Zaman'!Z9-30&lt;=5),MIN(INDEX('Vergi'!$F$50:$AR$50,MATCH(30,'Zaman'!$F$9:$AR$9,0))-SUM(F82:Y82),MAX(0,'Vergi'!Z51-SUM(Z53:Z81))),0)</f>
        <v/>
      </c>
      <c r="AA82" s="18">
        <f>IF(AND('Zaman'!AA9&gt;30,'Zaman'!AA9-30&lt;=5),MIN(INDEX('Vergi'!$F$50:$AR$50,MATCH(30,'Zaman'!$F$9:$AR$9,0))-SUM(F82:Z82),MAX(0,'Vergi'!AA51-SUM(AA53:AA81))),0)</f>
        <v/>
      </c>
      <c r="AB82" s="18">
        <f>IF(AND('Zaman'!AB9&gt;30,'Zaman'!AB9-30&lt;=5),MIN(INDEX('Vergi'!$F$50:$AR$50,MATCH(30,'Zaman'!$F$9:$AR$9,0))-SUM(F82:AA82),MAX(0,'Vergi'!AB51-SUM(AB53:AB81))),0)</f>
        <v/>
      </c>
      <c r="AC82" s="18">
        <f>IF(AND('Zaman'!AC9&gt;30,'Zaman'!AC9-30&lt;=5),MIN(INDEX('Vergi'!$F$50:$AR$50,MATCH(30,'Zaman'!$F$9:$AR$9,0))-SUM(F82:AB82),MAX(0,'Vergi'!AC51-SUM(AC53:AC81))),0)</f>
        <v/>
      </c>
      <c r="AD82" s="18">
        <f>IF(AND('Zaman'!AD9&gt;30,'Zaman'!AD9-30&lt;=5),MIN(INDEX('Vergi'!$F$50:$AR$50,MATCH(30,'Zaman'!$F$9:$AR$9,0))-SUM(F82:AC82),MAX(0,'Vergi'!AD51-SUM(AD53:AD81))),0)</f>
        <v/>
      </c>
      <c r="AE82" s="18">
        <f>IF(AND('Zaman'!AE9&gt;30,'Zaman'!AE9-30&lt;=5),MIN(INDEX('Vergi'!$F$50:$AR$50,MATCH(30,'Zaman'!$F$9:$AR$9,0))-SUM(F82:AD82),MAX(0,'Vergi'!AE51-SUM(AE53:AE81))),0)</f>
        <v/>
      </c>
      <c r="AF82" s="18">
        <f>IF(AND('Zaman'!AF9&gt;30,'Zaman'!AF9-30&lt;=5),MIN(INDEX('Vergi'!$F$50:$AR$50,MATCH(30,'Zaman'!$F$9:$AR$9,0))-SUM(F82:AE82),MAX(0,'Vergi'!AF51-SUM(AF53:AF81))),0)</f>
        <v/>
      </c>
      <c r="AG82" s="18">
        <f>IF(AND('Zaman'!AG9&gt;30,'Zaman'!AG9-30&lt;=5),MIN(INDEX('Vergi'!$F$50:$AR$50,MATCH(30,'Zaman'!$F$9:$AR$9,0))-SUM(F82:AF82),MAX(0,'Vergi'!AG51-SUM(AG53:AG81))),0)</f>
        <v/>
      </c>
      <c r="AH82" s="18">
        <f>IF(AND('Zaman'!AH9&gt;30,'Zaman'!AH9-30&lt;=5),MIN(INDEX('Vergi'!$F$50:$AR$50,MATCH(30,'Zaman'!$F$9:$AR$9,0))-SUM(F82:AG82),MAX(0,'Vergi'!AH51-SUM(AH53:AH81))),0)</f>
        <v/>
      </c>
      <c r="AI82" s="18">
        <f>IF(AND('Zaman'!AI9&gt;30,'Zaman'!AI9-30&lt;=5),MIN(INDEX('Vergi'!$F$50:$AR$50,MATCH(30,'Zaman'!$F$9:$AR$9,0))-SUM(F82:AH82),MAX(0,'Vergi'!AI51-SUM(AI53:AI81))),0)</f>
        <v/>
      </c>
      <c r="AJ82" s="18">
        <f>IF(AND('Zaman'!AJ9&gt;30,'Zaman'!AJ9-30&lt;=5),MIN(INDEX('Vergi'!$F$50:$AR$50,MATCH(30,'Zaman'!$F$9:$AR$9,0))-SUM(F82:AI82),MAX(0,'Vergi'!AJ51-SUM(AJ53:AJ81))),0)</f>
        <v/>
      </c>
      <c r="AK82" s="18">
        <f>IF(AND('Zaman'!AK9&gt;30,'Zaman'!AK9-30&lt;=5),MIN(INDEX('Vergi'!$F$50:$AR$50,MATCH(30,'Zaman'!$F$9:$AR$9,0))-SUM(F82:AJ82),MAX(0,'Vergi'!AK51-SUM(AK53:AK81))),0)</f>
        <v/>
      </c>
      <c r="AL82" s="18">
        <f>IF(AND('Zaman'!AL9&gt;30,'Zaman'!AL9-30&lt;=5),MIN(INDEX('Vergi'!$F$50:$AR$50,MATCH(30,'Zaman'!$F$9:$AR$9,0))-SUM(F82:AK82),MAX(0,'Vergi'!AL51-SUM(AL53:AL81))),0)</f>
        <v/>
      </c>
      <c r="AM82" s="18">
        <f>IF(AND('Zaman'!AM9&gt;30,'Zaman'!AM9-30&lt;=5),MIN(INDEX('Vergi'!$F$50:$AR$50,MATCH(30,'Zaman'!$F$9:$AR$9,0))-SUM(F82:AL82),MAX(0,'Vergi'!AM51-SUM(AM53:AM81))),0)</f>
        <v/>
      </c>
      <c r="AN82" s="18">
        <f>IF(AND('Zaman'!AN9&gt;30,'Zaman'!AN9-30&lt;=5),MIN(INDEX('Vergi'!$F$50:$AR$50,MATCH(30,'Zaman'!$F$9:$AR$9,0))-SUM(F82:AM82),MAX(0,'Vergi'!AN51-SUM(AN53:AN81))),0)</f>
        <v/>
      </c>
      <c r="AO82" s="18">
        <f>IF(AND('Zaman'!AO9&gt;30,'Zaman'!AO9-30&lt;=5),MIN(INDEX('Vergi'!$F$50:$AR$50,MATCH(30,'Zaman'!$F$9:$AR$9,0))-SUM(F82:AN82),MAX(0,'Vergi'!AO51-SUM(AO53:AO81))),0)</f>
        <v/>
      </c>
      <c r="AP82" s="18">
        <f>IF(AND('Zaman'!AP9&gt;30,'Zaman'!AP9-30&lt;=5),MIN(INDEX('Vergi'!$F$50:$AR$50,MATCH(30,'Zaman'!$F$9:$AR$9,0))-SUM(F82:AO82),MAX(0,'Vergi'!AP51-SUM(AP53:AP81))),0)</f>
        <v/>
      </c>
      <c r="AQ82" s="18">
        <f>IF(AND('Zaman'!AQ9&gt;30,'Zaman'!AQ9-30&lt;=5),MIN(INDEX('Vergi'!$F$50:$AR$50,MATCH(30,'Zaman'!$F$9:$AR$9,0))-SUM(F82:AP82),MAX(0,'Vergi'!AQ51-SUM(AQ53:AQ81))),0)</f>
        <v/>
      </c>
      <c r="AR82" s="18">
        <f>IF(AND('Zaman'!AR9&gt;30,'Zaman'!AR9-30&lt;=5),MIN(INDEX('Vergi'!$F$50:$AR$50,MATCH(30,'Zaman'!$F$9:$AR$9,0))-SUM(F82:AQ82),MAX(0,'Vergi'!AR51-SUM(AR53:AR81))),0)</f>
        <v/>
      </c>
    </row>
    <row r="83">
      <c r="A83" t="inlineStr">
        <is>
          <t>Kullanılan zarar mahsubu</t>
        </is>
      </c>
      <c r="B83" t="inlineStr">
        <is>
          <t>USD</t>
        </is>
      </c>
      <c r="C83" t="inlineStr"/>
      <c r="D83" s="18">
        <f>SUM(F83:AR83)</f>
        <v/>
      </c>
      <c r="E83" s="18" t="n">
        <v>0</v>
      </c>
      <c r="F83" s="18">
        <f>SUM(F53:F82)</f>
        <v/>
      </c>
      <c r="G83" s="18">
        <f>SUM(G53:G82)</f>
        <v/>
      </c>
      <c r="H83" s="18">
        <f>SUM(H53:H82)</f>
        <v/>
      </c>
      <c r="I83" s="18">
        <f>SUM(I53:I82)</f>
        <v/>
      </c>
      <c r="J83" s="18">
        <f>SUM(J53:J82)</f>
        <v/>
      </c>
      <c r="K83" s="18">
        <f>SUM(K53:K82)</f>
        <v/>
      </c>
      <c r="L83" s="18">
        <f>SUM(L53:L82)</f>
        <v/>
      </c>
      <c r="M83" s="18">
        <f>SUM(M53:M82)</f>
        <v/>
      </c>
      <c r="N83" s="18">
        <f>SUM(N53:N82)</f>
        <v/>
      </c>
      <c r="O83" s="18">
        <f>SUM(O53:O82)</f>
        <v/>
      </c>
      <c r="P83" s="18">
        <f>SUM(P53:P82)</f>
        <v/>
      </c>
      <c r="Q83" s="18">
        <f>SUM(Q53:Q82)</f>
        <v/>
      </c>
      <c r="R83" s="18">
        <f>SUM(R53:R82)</f>
        <v/>
      </c>
      <c r="S83" s="18">
        <f>SUM(S53:S82)</f>
        <v/>
      </c>
      <c r="T83" s="18">
        <f>SUM(T53:T82)</f>
        <v/>
      </c>
      <c r="U83" s="18">
        <f>SUM(U53:U82)</f>
        <v/>
      </c>
      <c r="V83" s="18">
        <f>SUM(V53:V82)</f>
        <v/>
      </c>
      <c r="W83" s="18">
        <f>SUM(W53:W82)</f>
        <v/>
      </c>
      <c r="X83" s="18">
        <f>SUM(X53:X82)</f>
        <v/>
      </c>
      <c r="Y83" s="18">
        <f>SUM(Y53:Y82)</f>
        <v/>
      </c>
      <c r="Z83" s="18">
        <f>SUM(Z53:Z82)</f>
        <v/>
      </c>
      <c r="AA83" s="18">
        <f>SUM(AA53:AA82)</f>
        <v/>
      </c>
      <c r="AB83" s="18">
        <f>SUM(AB53:AB82)</f>
        <v/>
      </c>
      <c r="AC83" s="18">
        <f>SUM(AC53:AC82)</f>
        <v/>
      </c>
      <c r="AD83" s="18">
        <f>SUM(AD53:AD82)</f>
        <v/>
      </c>
      <c r="AE83" s="18">
        <f>SUM(AE53:AE82)</f>
        <v/>
      </c>
      <c r="AF83" s="18">
        <f>SUM(AF53:AF82)</f>
        <v/>
      </c>
      <c r="AG83" s="18">
        <f>SUM(AG53:AG82)</f>
        <v/>
      </c>
      <c r="AH83" s="18">
        <f>SUM(AH53:AH82)</f>
        <v/>
      </c>
      <c r="AI83" s="18">
        <f>SUM(AI53:AI82)</f>
        <v/>
      </c>
      <c r="AJ83" s="18">
        <f>SUM(AJ53:AJ82)</f>
        <v/>
      </c>
      <c r="AK83" s="18">
        <f>SUM(AK53:AK82)</f>
        <v/>
      </c>
      <c r="AL83" s="18">
        <f>SUM(AL53:AL82)</f>
        <v/>
      </c>
      <c r="AM83" s="18">
        <f>SUM(AM53:AM82)</f>
        <v/>
      </c>
      <c r="AN83" s="18">
        <f>SUM(AN53:AN82)</f>
        <v/>
      </c>
      <c r="AO83" s="18">
        <f>SUM(AO53:AO82)</f>
        <v/>
      </c>
      <c r="AP83" s="18">
        <f>SUM(AP53:AP82)</f>
        <v/>
      </c>
      <c r="AQ83" s="18">
        <f>SUM(AQ53:AQ82)</f>
        <v/>
      </c>
      <c r="AR83" s="18">
        <f>SUM(AR53:AR82)</f>
        <v/>
      </c>
    </row>
    <row r="84">
      <c r="A84" t="inlineStr">
        <is>
          <t>Kurumlar vergisi</t>
        </is>
      </c>
      <c r="B84" t="inlineStr">
        <is>
          <t>USD</t>
        </is>
      </c>
      <c r="C84" t="inlineStr"/>
      <c r="D84" s="18">
        <f>SUM(F84:AR84)</f>
        <v/>
      </c>
      <c r="E84" s="18" t="n">
        <v>0</v>
      </c>
      <c r="F84" s="18">
        <f>Girdiler!$C$74*('Vergi'!F51-'Vergi'!F83)</f>
        <v/>
      </c>
      <c r="G84" s="18">
        <f>Girdiler!$C$74*('Vergi'!G51-'Vergi'!G83)</f>
        <v/>
      </c>
      <c r="H84" s="18">
        <f>Girdiler!$C$74*('Vergi'!H51-'Vergi'!H83)</f>
        <v/>
      </c>
      <c r="I84" s="18">
        <f>Girdiler!$C$74*('Vergi'!I51-'Vergi'!I83)</f>
        <v/>
      </c>
      <c r="J84" s="18">
        <f>Girdiler!$C$74*('Vergi'!J51-'Vergi'!J83)</f>
        <v/>
      </c>
      <c r="K84" s="18">
        <f>Girdiler!$C$74*('Vergi'!K51-'Vergi'!K83)</f>
        <v/>
      </c>
      <c r="L84" s="18">
        <f>Girdiler!$C$74*('Vergi'!L51-'Vergi'!L83)</f>
        <v/>
      </c>
      <c r="M84" s="18">
        <f>Girdiler!$C$74*('Vergi'!M51-'Vergi'!M83)</f>
        <v/>
      </c>
      <c r="N84" s="18">
        <f>Girdiler!$C$74*('Vergi'!N51-'Vergi'!N83)</f>
        <v/>
      </c>
      <c r="O84" s="18">
        <f>Girdiler!$C$74*('Vergi'!O51-'Vergi'!O83)</f>
        <v/>
      </c>
      <c r="P84" s="18">
        <f>Girdiler!$C$74*('Vergi'!P51-'Vergi'!P83)</f>
        <v/>
      </c>
      <c r="Q84" s="18">
        <f>Girdiler!$C$74*('Vergi'!Q51-'Vergi'!Q83)</f>
        <v/>
      </c>
      <c r="R84" s="18">
        <f>Girdiler!$C$74*('Vergi'!R51-'Vergi'!R83)</f>
        <v/>
      </c>
      <c r="S84" s="18">
        <f>Girdiler!$C$74*('Vergi'!S51-'Vergi'!S83)</f>
        <v/>
      </c>
      <c r="T84" s="18">
        <f>Girdiler!$C$74*('Vergi'!T51-'Vergi'!T83)</f>
        <v/>
      </c>
      <c r="U84" s="18">
        <f>Girdiler!$C$74*('Vergi'!U51-'Vergi'!U83)</f>
        <v/>
      </c>
      <c r="V84" s="18">
        <f>Girdiler!$C$74*('Vergi'!V51-'Vergi'!V83)</f>
        <v/>
      </c>
      <c r="W84" s="18">
        <f>Girdiler!$C$74*('Vergi'!W51-'Vergi'!W83)</f>
        <v/>
      </c>
      <c r="X84" s="18">
        <f>Girdiler!$C$74*('Vergi'!X51-'Vergi'!X83)</f>
        <v/>
      </c>
      <c r="Y84" s="18">
        <f>Girdiler!$C$74*('Vergi'!Y51-'Vergi'!Y83)</f>
        <v/>
      </c>
      <c r="Z84" s="18">
        <f>Girdiler!$C$74*('Vergi'!Z51-'Vergi'!Z83)</f>
        <v/>
      </c>
      <c r="AA84" s="18">
        <f>Girdiler!$C$74*('Vergi'!AA51-'Vergi'!AA83)</f>
        <v/>
      </c>
      <c r="AB84" s="18">
        <f>Girdiler!$C$74*('Vergi'!AB51-'Vergi'!AB83)</f>
        <v/>
      </c>
      <c r="AC84" s="18">
        <f>Girdiler!$C$74*('Vergi'!AC51-'Vergi'!AC83)</f>
        <v/>
      </c>
      <c r="AD84" s="18">
        <f>Girdiler!$C$74*('Vergi'!AD51-'Vergi'!AD83)</f>
        <v/>
      </c>
      <c r="AE84" s="18">
        <f>Girdiler!$C$74*('Vergi'!AE51-'Vergi'!AE83)</f>
        <v/>
      </c>
      <c r="AF84" s="18">
        <f>Girdiler!$C$74*('Vergi'!AF51-'Vergi'!AF83)</f>
        <v/>
      </c>
      <c r="AG84" s="18">
        <f>Girdiler!$C$74*('Vergi'!AG51-'Vergi'!AG83)</f>
        <v/>
      </c>
      <c r="AH84" s="18">
        <f>Girdiler!$C$74*('Vergi'!AH51-'Vergi'!AH83)</f>
        <v/>
      </c>
      <c r="AI84" s="18">
        <f>Girdiler!$C$74*('Vergi'!AI51-'Vergi'!AI83)</f>
        <v/>
      </c>
      <c r="AJ84" s="18">
        <f>Girdiler!$C$74*('Vergi'!AJ51-'Vergi'!AJ83)</f>
        <v/>
      </c>
      <c r="AK84" s="18">
        <f>Girdiler!$C$74*('Vergi'!AK51-'Vergi'!AK83)</f>
        <v/>
      </c>
      <c r="AL84" s="18">
        <f>Girdiler!$C$74*('Vergi'!AL51-'Vergi'!AL83)</f>
        <v/>
      </c>
      <c r="AM84" s="18">
        <f>Girdiler!$C$74*('Vergi'!AM51-'Vergi'!AM83)</f>
        <v/>
      </c>
      <c r="AN84" s="18">
        <f>Girdiler!$C$74*('Vergi'!AN51-'Vergi'!AN83)</f>
        <v/>
      </c>
      <c r="AO84" s="18">
        <f>Girdiler!$C$74*('Vergi'!AO51-'Vergi'!AO83)</f>
        <v/>
      </c>
      <c r="AP84" s="18">
        <f>Girdiler!$C$74*('Vergi'!AP51-'Vergi'!AP83)</f>
        <v/>
      </c>
      <c r="AQ84" s="18">
        <f>Girdiler!$C$74*('Vergi'!AQ51-'Vergi'!AQ83)</f>
        <v/>
      </c>
      <c r="AR84" s="18">
        <f>Girdiler!$C$74*('Vergi'!AR51-'Vergi'!AR83)</f>
        <v/>
      </c>
    </row>
    <row r="85">
      <c r="A85" t="inlineStr">
        <is>
          <t>CFADS (borç servisine esas nakit)</t>
        </is>
      </c>
      <c r="B85" t="inlineStr">
        <is>
          <t>USD</t>
        </is>
      </c>
      <c r="C85" t="inlineStr"/>
      <c r="D85" s="18">
        <f>SUM(F85:AR85)</f>
        <v/>
      </c>
      <c r="E85" s="18" t="n">
        <v>0</v>
      </c>
      <c r="F85" s="18">
        <f>'OPEX'!F25-'Vergi'!F84-'OPEX'!F26-'OPEX'!F27</f>
        <v/>
      </c>
      <c r="G85" s="18">
        <f>'OPEX'!G25-'Vergi'!G84-'OPEX'!G26-'OPEX'!G27</f>
        <v/>
      </c>
      <c r="H85" s="18">
        <f>'OPEX'!H25-'Vergi'!H84-'OPEX'!H26-'OPEX'!H27</f>
        <v/>
      </c>
      <c r="I85" s="18">
        <f>'OPEX'!I25-'Vergi'!I84-'OPEX'!I26-'OPEX'!I27</f>
        <v/>
      </c>
      <c r="J85" s="18">
        <f>'OPEX'!J25-'Vergi'!J84-'OPEX'!J26-'OPEX'!J27</f>
        <v/>
      </c>
      <c r="K85" s="18">
        <f>'OPEX'!K25-'Vergi'!K84-'OPEX'!K26-'OPEX'!K27</f>
        <v/>
      </c>
      <c r="L85" s="18">
        <f>'OPEX'!L25-'Vergi'!L84-'OPEX'!L26-'OPEX'!L27</f>
        <v/>
      </c>
      <c r="M85" s="18">
        <f>'OPEX'!M25-'Vergi'!M84-'OPEX'!M26-'OPEX'!M27</f>
        <v/>
      </c>
      <c r="N85" s="18">
        <f>'OPEX'!N25-'Vergi'!N84-'OPEX'!N26-'OPEX'!N27</f>
        <v/>
      </c>
      <c r="O85" s="18">
        <f>'OPEX'!O25-'Vergi'!O84-'OPEX'!O26-'OPEX'!O27</f>
        <v/>
      </c>
      <c r="P85" s="18">
        <f>'OPEX'!P25-'Vergi'!P84-'OPEX'!P26-'OPEX'!P27</f>
        <v/>
      </c>
      <c r="Q85" s="18">
        <f>'OPEX'!Q25-'Vergi'!Q84-'OPEX'!Q26-'OPEX'!Q27</f>
        <v/>
      </c>
      <c r="R85" s="18">
        <f>'OPEX'!R25-'Vergi'!R84-'OPEX'!R26-'OPEX'!R27</f>
        <v/>
      </c>
      <c r="S85" s="18">
        <f>'OPEX'!S25-'Vergi'!S84-'OPEX'!S26-'OPEX'!S27</f>
        <v/>
      </c>
      <c r="T85" s="18">
        <f>'OPEX'!T25-'Vergi'!T84-'OPEX'!T26-'OPEX'!T27</f>
        <v/>
      </c>
      <c r="U85" s="18">
        <f>'OPEX'!U25-'Vergi'!U84-'OPEX'!U26-'OPEX'!U27</f>
        <v/>
      </c>
      <c r="V85" s="18">
        <f>'OPEX'!V25-'Vergi'!V84-'OPEX'!V26-'OPEX'!V27</f>
        <v/>
      </c>
      <c r="W85" s="18">
        <f>'OPEX'!W25-'Vergi'!W84-'OPEX'!W26-'OPEX'!W27</f>
        <v/>
      </c>
      <c r="X85" s="18">
        <f>'OPEX'!X25-'Vergi'!X84-'OPEX'!X26-'OPEX'!X27</f>
        <v/>
      </c>
      <c r="Y85" s="18">
        <f>'OPEX'!Y25-'Vergi'!Y84-'OPEX'!Y26-'OPEX'!Y27</f>
        <v/>
      </c>
      <c r="Z85" s="18">
        <f>'OPEX'!Z25-'Vergi'!Z84-'OPEX'!Z26-'OPEX'!Z27</f>
        <v/>
      </c>
      <c r="AA85" s="18">
        <f>'OPEX'!AA25-'Vergi'!AA84-'OPEX'!AA26-'OPEX'!AA27</f>
        <v/>
      </c>
      <c r="AB85" s="18">
        <f>'OPEX'!AB25-'Vergi'!AB84-'OPEX'!AB26-'OPEX'!AB27</f>
        <v/>
      </c>
      <c r="AC85" s="18">
        <f>'OPEX'!AC25-'Vergi'!AC84-'OPEX'!AC26-'OPEX'!AC27</f>
        <v/>
      </c>
      <c r="AD85" s="18">
        <f>'OPEX'!AD25-'Vergi'!AD84-'OPEX'!AD26-'OPEX'!AD27</f>
        <v/>
      </c>
      <c r="AE85" s="18">
        <f>'OPEX'!AE25-'Vergi'!AE84-'OPEX'!AE26-'OPEX'!AE27</f>
        <v/>
      </c>
      <c r="AF85" s="18">
        <f>'OPEX'!AF25-'Vergi'!AF84-'OPEX'!AF26-'OPEX'!AF27</f>
        <v/>
      </c>
      <c r="AG85" s="18">
        <f>'OPEX'!AG25-'Vergi'!AG84-'OPEX'!AG26-'OPEX'!AG27</f>
        <v/>
      </c>
      <c r="AH85" s="18">
        <f>'OPEX'!AH25-'Vergi'!AH84-'OPEX'!AH26-'OPEX'!AH27</f>
        <v/>
      </c>
      <c r="AI85" s="18">
        <f>'OPEX'!AI25-'Vergi'!AI84-'OPEX'!AI26-'OPEX'!AI27</f>
        <v/>
      </c>
      <c r="AJ85" s="18">
        <f>'OPEX'!AJ25-'Vergi'!AJ84-'OPEX'!AJ26-'OPEX'!AJ27</f>
        <v/>
      </c>
      <c r="AK85" s="18">
        <f>'OPEX'!AK25-'Vergi'!AK84-'OPEX'!AK26-'OPEX'!AK27</f>
        <v/>
      </c>
      <c r="AL85" s="18">
        <f>'OPEX'!AL25-'Vergi'!AL84-'OPEX'!AL26-'OPEX'!AL27</f>
        <v/>
      </c>
      <c r="AM85" s="18">
        <f>'OPEX'!AM25-'Vergi'!AM84-'OPEX'!AM26-'OPEX'!AM27</f>
        <v/>
      </c>
      <c r="AN85" s="18">
        <f>'OPEX'!AN25-'Vergi'!AN84-'OPEX'!AN26-'OPEX'!AN27</f>
        <v/>
      </c>
      <c r="AO85" s="18">
        <f>'OPEX'!AO25-'Vergi'!AO84-'OPEX'!AO26-'OPEX'!AO27</f>
        <v/>
      </c>
      <c r="AP85" s="18">
        <f>'OPEX'!AP25-'Vergi'!AP84-'OPEX'!AP26-'OPEX'!AP27</f>
        <v/>
      </c>
      <c r="AQ85" s="18">
        <f>'OPEX'!AQ25-'Vergi'!AQ84-'OPEX'!AQ26-'OPEX'!AQ27</f>
        <v/>
      </c>
      <c r="AR85" s="18">
        <f>'OPEX'!AR25-'Vergi'!AR84-'OPEX'!AR26-'OPEX'!AR27</f>
        <v/>
      </c>
    </row>
    <row r="86"/>
    <row r="87">
      <c r="A87" s="28" t="inlineStr">
        <is>
          <t>— KDV (teşvik belgesi yoksa) —</t>
        </is>
      </c>
    </row>
    <row r="88">
      <c r="A88" t="inlineStr">
        <is>
          <t>İnşaatta ödenen KDV</t>
        </is>
      </c>
      <c r="B88" t="inlineStr">
        <is>
          <t>USD</t>
        </is>
      </c>
      <c r="C88" t="inlineStr"/>
      <c r="D88" s="18">
        <f>SUM(F88:AR88)</f>
        <v/>
      </c>
      <c r="E88" s="18" t="n">
        <v>0</v>
      </c>
      <c r="F88" s="18">
        <f>IF(Girdiler!$C$9="Yok",1,0)*Girdiler!$C$82*Girdiler!$C$83*Girdiler!$C$90*'Zaman'!F8</f>
        <v/>
      </c>
      <c r="G88" s="18">
        <f>IF(Girdiler!$C$9="Yok",1,0)*Girdiler!$C$82*Girdiler!$C$83*Girdiler!$C$90*'Zaman'!G8</f>
        <v/>
      </c>
      <c r="H88" s="18">
        <f>IF(Girdiler!$C$9="Yok",1,0)*Girdiler!$C$82*Girdiler!$C$83*Girdiler!$C$90*'Zaman'!H8</f>
        <v/>
      </c>
      <c r="I88" s="18">
        <f>IF(Girdiler!$C$9="Yok",1,0)*Girdiler!$C$82*Girdiler!$C$83*Girdiler!$C$90*'Zaman'!I8</f>
        <v/>
      </c>
      <c r="J88" s="18">
        <f>IF(Girdiler!$C$9="Yok",1,0)*Girdiler!$C$82*Girdiler!$C$83*Girdiler!$C$90*'Zaman'!J8</f>
        <v/>
      </c>
      <c r="K88" s="18">
        <f>IF(Girdiler!$C$9="Yok",1,0)*Girdiler!$C$82*Girdiler!$C$83*Girdiler!$C$90*'Zaman'!K8</f>
        <v/>
      </c>
      <c r="L88" s="18">
        <f>IF(Girdiler!$C$9="Yok",1,0)*Girdiler!$C$82*Girdiler!$C$83*Girdiler!$C$90*'Zaman'!L8</f>
        <v/>
      </c>
      <c r="M88" s="18">
        <f>IF(Girdiler!$C$9="Yok",1,0)*Girdiler!$C$82*Girdiler!$C$83*Girdiler!$C$90*'Zaman'!M8</f>
        <v/>
      </c>
      <c r="N88" s="18">
        <f>IF(Girdiler!$C$9="Yok",1,0)*Girdiler!$C$82*Girdiler!$C$83*Girdiler!$C$90*'Zaman'!N8</f>
        <v/>
      </c>
      <c r="O88" s="18">
        <f>IF(Girdiler!$C$9="Yok",1,0)*Girdiler!$C$82*Girdiler!$C$83*Girdiler!$C$90*'Zaman'!O8</f>
        <v/>
      </c>
      <c r="P88" s="18">
        <f>IF(Girdiler!$C$9="Yok",1,0)*Girdiler!$C$82*Girdiler!$C$83*Girdiler!$C$90*'Zaman'!P8</f>
        <v/>
      </c>
      <c r="Q88" s="18">
        <f>IF(Girdiler!$C$9="Yok",1,0)*Girdiler!$C$82*Girdiler!$C$83*Girdiler!$C$90*'Zaman'!Q8</f>
        <v/>
      </c>
      <c r="R88" s="18">
        <f>IF(Girdiler!$C$9="Yok",1,0)*Girdiler!$C$82*Girdiler!$C$83*Girdiler!$C$90*'Zaman'!R8</f>
        <v/>
      </c>
      <c r="S88" s="18">
        <f>IF(Girdiler!$C$9="Yok",1,0)*Girdiler!$C$82*Girdiler!$C$83*Girdiler!$C$90*'Zaman'!S8</f>
        <v/>
      </c>
      <c r="T88" s="18">
        <f>IF(Girdiler!$C$9="Yok",1,0)*Girdiler!$C$82*Girdiler!$C$83*Girdiler!$C$90*'Zaman'!T8</f>
        <v/>
      </c>
      <c r="U88" s="18">
        <f>IF(Girdiler!$C$9="Yok",1,0)*Girdiler!$C$82*Girdiler!$C$83*Girdiler!$C$90*'Zaman'!U8</f>
        <v/>
      </c>
      <c r="V88" s="18">
        <f>IF(Girdiler!$C$9="Yok",1,0)*Girdiler!$C$82*Girdiler!$C$83*Girdiler!$C$90*'Zaman'!V8</f>
        <v/>
      </c>
      <c r="W88" s="18">
        <f>IF(Girdiler!$C$9="Yok",1,0)*Girdiler!$C$82*Girdiler!$C$83*Girdiler!$C$90*'Zaman'!W8</f>
        <v/>
      </c>
      <c r="X88" s="18">
        <f>IF(Girdiler!$C$9="Yok",1,0)*Girdiler!$C$82*Girdiler!$C$83*Girdiler!$C$90*'Zaman'!X8</f>
        <v/>
      </c>
      <c r="Y88" s="18">
        <f>IF(Girdiler!$C$9="Yok",1,0)*Girdiler!$C$82*Girdiler!$C$83*Girdiler!$C$90*'Zaman'!Y8</f>
        <v/>
      </c>
      <c r="Z88" s="18">
        <f>IF(Girdiler!$C$9="Yok",1,0)*Girdiler!$C$82*Girdiler!$C$83*Girdiler!$C$90*'Zaman'!Z8</f>
        <v/>
      </c>
      <c r="AA88" s="18">
        <f>IF(Girdiler!$C$9="Yok",1,0)*Girdiler!$C$82*Girdiler!$C$83*Girdiler!$C$90*'Zaman'!AA8</f>
        <v/>
      </c>
      <c r="AB88" s="18">
        <f>IF(Girdiler!$C$9="Yok",1,0)*Girdiler!$C$82*Girdiler!$C$83*Girdiler!$C$90*'Zaman'!AB8</f>
        <v/>
      </c>
      <c r="AC88" s="18">
        <f>IF(Girdiler!$C$9="Yok",1,0)*Girdiler!$C$82*Girdiler!$C$83*Girdiler!$C$90*'Zaman'!AC8</f>
        <v/>
      </c>
      <c r="AD88" s="18">
        <f>IF(Girdiler!$C$9="Yok",1,0)*Girdiler!$C$82*Girdiler!$C$83*Girdiler!$C$90*'Zaman'!AD8</f>
        <v/>
      </c>
      <c r="AE88" s="18">
        <f>IF(Girdiler!$C$9="Yok",1,0)*Girdiler!$C$82*Girdiler!$C$83*Girdiler!$C$90*'Zaman'!AE8</f>
        <v/>
      </c>
      <c r="AF88" s="18">
        <f>IF(Girdiler!$C$9="Yok",1,0)*Girdiler!$C$82*Girdiler!$C$83*Girdiler!$C$90*'Zaman'!AF8</f>
        <v/>
      </c>
      <c r="AG88" s="18">
        <f>IF(Girdiler!$C$9="Yok",1,0)*Girdiler!$C$82*Girdiler!$C$83*Girdiler!$C$90*'Zaman'!AG8</f>
        <v/>
      </c>
      <c r="AH88" s="18">
        <f>IF(Girdiler!$C$9="Yok",1,0)*Girdiler!$C$82*Girdiler!$C$83*Girdiler!$C$90*'Zaman'!AH8</f>
        <v/>
      </c>
      <c r="AI88" s="18">
        <f>IF(Girdiler!$C$9="Yok",1,0)*Girdiler!$C$82*Girdiler!$C$83*Girdiler!$C$90*'Zaman'!AI8</f>
        <v/>
      </c>
      <c r="AJ88" s="18">
        <f>IF(Girdiler!$C$9="Yok",1,0)*Girdiler!$C$82*Girdiler!$C$83*Girdiler!$C$90*'Zaman'!AJ8</f>
        <v/>
      </c>
      <c r="AK88" s="18">
        <f>IF(Girdiler!$C$9="Yok",1,0)*Girdiler!$C$82*Girdiler!$C$83*Girdiler!$C$90*'Zaman'!AK8</f>
        <v/>
      </c>
      <c r="AL88" s="18">
        <f>IF(Girdiler!$C$9="Yok",1,0)*Girdiler!$C$82*Girdiler!$C$83*Girdiler!$C$90*'Zaman'!AL8</f>
        <v/>
      </c>
      <c r="AM88" s="18">
        <f>IF(Girdiler!$C$9="Yok",1,0)*Girdiler!$C$82*Girdiler!$C$83*Girdiler!$C$90*'Zaman'!AM8</f>
        <v/>
      </c>
      <c r="AN88" s="18">
        <f>IF(Girdiler!$C$9="Yok",1,0)*Girdiler!$C$82*Girdiler!$C$83*Girdiler!$C$90*'Zaman'!AN8</f>
        <v/>
      </c>
      <c r="AO88" s="18">
        <f>IF(Girdiler!$C$9="Yok",1,0)*Girdiler!$C$82*Girdiler!$C$83*Girdiler!$C$90*'Zaman'!AO8</f>
        <v/>
      </c>
      <c r="AP88" s="18">
        <f>IF(Girdiler!$C$9="Yok",1,0)*Girdiler!$C$82*Girdiler!$C$83*Girdiler!$C$90*'Zaman'!AP8</f>
        <v/>
      </c>
      <c r="AQ88" s="18">
        <f>IF(Girdiler!$C$9="Yok",1,0)*Girdiler!$C$82*Girdiler!$C$83*Girdiler!$C$90*'Zaman'!AQ8</f>
        <v/>
      </c>
      <c r="AR88" s="18">
        <f>IF(Girdiler!$C$9="Yok",1,0)*Girdiler!$C$82*Girdiler!$C$83*Girdiler!$C$90*'Zaman'!AR8</f>
        <v/>
      </c>
    </row>
    <row r="89">
      <c r="A89" t="inlineStr">
        <is>
          <t>KDV mahsubuna esas gelir</t>
        </is>
      </c>
      <c r="B89" t="inlineStr">
        <is>
          <t>USD</t>
        </is>
      </c>
      <c r="C89" t="inlineStr"/>
      <c r="D89" s="18">
        <f>SUM(F89:AR89)</f>
        <v/>
      </c>
      <c r="E89" s="18" t="n">
        <v>0</v>
      </c>
      <c r="F89" s="18">
        <f>Gelir!F8+Gelir!F9+Gelir!F10</f>
        <v/>
      </c>
      <c r="G89" s="18">
        <f>Gelir!G8+Gelir!G9+Gelir!G10</f>
        <v/>
      </c>
      <c r="H89" s="18">
        <f>Gelir!H8+Gelir!H9+Gelir!H10</f>
        <v/>
      </c>
      <c r="I89" s="18">
        <f>Gelir!I8+Gelir!I9+Gelir!I10</f>
        <v/>
      </c>
      <c r="J89" s="18">
        <f>Gelir!J8+Gelir!J9+Gelir!J10</f>
        <v/>
      </c>
      <c r="K89" s="18">
        <f>Gelir!K8+Gelir!K9+Gelir!K10</f>
        <v/>
      </c>
      <c r="L89" s="18">
        <f>Gelir!L8+Gelir!L9+Gelir!L10</f>
        <v/>
      </c>
      <c r="M89" s="18">
        <f>Gelir!M8+Gelir!M9+Gelir!M10</f>
        <v/>
      </c>
      <c r="N89" s="18">
        <f>Gelir!N8+Gelir!N9+Gelir!N10</f>
        <v/>
      </c>
      <c r="O89" s="18">
        <f>Gelir!O8+Gelir!O9+Gelir!O10</f>
        <v/>
      </c>
      <c r="P89" s="18">
        <f>Gelir!P8+Gelir!P9+Gelir!P10</f>
        <v/>
      </c>
      <c r="Q89" s="18">
        <f>Gelir!Q8+Gelir!Q9+Gelir!Q10</f>
        <v/>
      </c>
      <c r="R89" s="18">
        <f>Gelir!R8+Gelir!R9+Gelir!R10</f>
        <v/>
      </c>
      <c r="S89" s="18">
        <f>Gelir!S8+Gelir!S9+Gelir!S10</f>
        <v/>
      </c>
      <c r="T89" s="18">
        <f>Gelir!T8+Gelir!T9+Gelir!T10</f>
        <v/>
      </c>
      <c r="U89" s="18">
        <f>Gelir!U8+Gelir!U9+Gelir!U10</f>
        <v/>
      </c>
      <c r="V89" s="18">
        <f>Gelir!V8+Gelir!V9+Gelir!V10</f>
        <v/>
      </c>
      <c r="W89" s="18">
        <f>Gelir!W8+Gelir!W9+Gelir!W10</f>
        <v/>
      </c>
      <c r="X89" s="18">
        <f>Gelir!X8+Gelir!X9+Gelir!X10</f>
        <v/>
      </c>
      <c r="Y89" s="18">
        <f>Gelir!Y8+Gelir!Y9+Gelir!Y10</f>
        <v/>
      </c>
      <c r="Z89" s="18">
        <f>Gelir!Z8+Gelir!Z9+Gelir!Z10</f>
        <v/>
      </c>
      <c r="AA89" s="18">
        <f>Gelir!AA8+Gelir!AA9+Gelir!AA10</f>
        <v/>
      </c>
      <c r="AB89" s="18">
        <f>Gelir!AB8+Gelir!AB9+Gelir!AB10</f>
        <v/>
      </c>
      <c r="AC89" s="18">
        <f>Gelir!AC8+Gelir!AC9+Gelir!AC10</f>
        <v/>
      </c>
      <c r="AD89" s="18">
        <f>Gelir!AD8+Gelir!AD9+Gelir!AD10</f>
        <v/>
      </c>
      <c r="AE89" s="18">
        <f>Gelir!AE8+Gelir!AE9+Gelir!AE10</f>
        <v/>
      </c>
      <c r="AF89" s="18">
        <f>Gelir!AF8+Gelir!AF9+Gelir!AF10</f>
        <v/>
      </c>
      <c r="AG89" s="18">
        <f>Gelir!AG8+Gelir!AG9+Gelir!AG10</f>
        <v/>
      </c>
      <c r="AH89" s="18">
        <f>Gelir!AH8+Gelir!AH9+Gelir!AH10</f>
        <v/>
      </c>
      <c r="AI89" s="18">
        <f>Gelir!AI8+Gelir!AI9+Gelir!AI10</f>
        <v/>
      </c>
      <c r="AJ89" s="18">
        <f>Gelir!AJ8+Gelir!AJ9+Gelir!AJ10</f>
        <v/>
      </c>
      <c r="AK89" s="18">
        <f>Gelir!AK8+Gelir!AK9+Gelir!AK10</f>
        <v/>
      </c>
      <c r="AL89" s="18">
        <f>Gelir!AL8+Gelir!AL9+Gelir!AL10</f>
        <v/>
      </c>
      <c r="AM89" s="18">
        <f>Gelir!AM8+Gelir!AM9+Gelir!AM10</f>
        <v/>
      </c>
      <c r="AN89" s="18">
        <f>Gelir!AN8+Gelir!AN9+Gelir!AN10</f>
        <v/>
      </c>
      <c r="AO89" s="18">
        <f>Gelir!AO8+Gelir!AO9+Gelir!AO10</f>
        <v/>
      </c>
      <c r="AP89" s="18">
        <f>Gelir!AP8+Gelir!AP9+Gelir!AP10</f>
        <v/>
      </c>
      <c r="AQ89" s="18">
        <f>Gelir!AQ8+Gelir!AQ9+Gelir!AQ10</f>
        <v/>
      </c>
      <c r="AR89" s="18">
        <f>Gelir!AR8+Gelir!AR9+Gelir!AR10</f>
        <v/>
      </c>
    </row>
    <row r="90">
      <c r="A90" t="inlineStr">
        <is>
          <t>Devreden KDV (aşınma sonrası, mahsup öncesi)</t>
        </is>
      </c>
      <c r="B90" t="inlineStr">
        <is>
          <t>USD</t>
        </is>
      </c>
      <c r="C90" t="inlineStr"/>
      <c r="E90" s="18" t="n">
        <v>0</v>
      </c>
      <c r="F90" s="18">
        <f>'Vergi'!F88</f>
        <v/>
      </c>
      <c r="G90" s="18">
        <f>'Vergi'!F92*(1-Girdiler!$C$84)+'Vergi'!G88</f>
        <v/>
      </c>
      <c r="H90" s="18">
        <f>'Vergi'!G92*(1-Girdiler!$C$84)+'Vergi'!H88</f>
        <v/>
      </c>
      <c r="I90" s="18">
        <f>'Vergi'!H92*(1-Girdiler!$C$84)+'Vergi'!I88</f>
        <v/>
      </c>
      <c r="J90" s="18">
        <f>'Vergi'!I92*(1-Girdiler!$C$84)+'Vergi'!J88</f>
        <v/>
      </c>
      <c r="K90" s="18">
        <f>'Vergi'!J92*(1-Girdiler!$C$84)+'Vergi'!K88</f>
        <v/>
      </c>
      <c r="L90" s="18">
        <f>'Vergi'!K92*(1-Girdiler!$C$84)+'Vergi'!L88</f>
        <v/>
      </c>
      <c r="M90" s="18">
        <f>'Vergi'!L92*(1-Girdiler!$C$84)+'Vergi'!M88</f>
        <v/>
      </c>
      <c r="N90" s="18">
        <f>'Vergi'!M92*(1-Girdiler!$C$84)+'Vergi'!N88</f>
        <v/>
      </c>
      <c r="O90" s="18">
        <f>'Vergi'!N92*(1-Girdiler!$C$84)+'Vergi'!O88</f>
        <v/>
      </c>
      <c r="P90" s="18">
        <f>'Vergi'!O92*(1-Girdiler!$C$84)+'Vergi'!P88</f>
        <v/>
      </c>
      <c r="Q90" s="18">
        <f>'Vergi'!P92*(1-Girdiler!$C$84)+'Vergi'!Q88</f>
        <v/>
      </c>
      <c r="R90" s="18">
        <f>'Vergi'!Q92*(1-Girdiler!$C$84)+'Vergi'!R88</f>
        <v/>
      </c>
      <c r="S90" s="18">
        <f>'Vergi'!R92*(1-Girdiler!$C$84)+'Vergi'!S88</f>
        <v/>
      </c>
      <c r="T90" s="18">
        <f>'Vergi'!S92*(1-Girdiler!$C$84)+'Vergi'!T88</f>
        <v/>
      </c>
      <c r="U90" s="18">
        <f>'Vergi'!T92*(1-Girdiler!$C$84)+'Vergi'!U88</f>
        <v/>
      </c>
      <c r="V90" s="18">
        <f>'Vergi'!U92*(1-Girdiler!$C$84)+'Vergi'!V88</f>
        <v/>
      </c>
      <c r="W90" s="18">
        <f>'Vergi'!V92*(1-Girdiler!$C$84)+'Vergi'!W88</f>
        <v/>
      </c>
      <c r="X90" s="18">
        <f>'Vergi'!W92*(1-Girdiler!$C$84)+'Vergi'!X88</f>
        <v/>
      </c>
      <c r="Y90" s="18">
        <f>'Vergi'!X92*(1-Girdiler!$C$84)+'Vergi'!Y88</f>
        <v/>
      </c>
      <c r="Z90" s="18">
        <f>'Vergi'!Y92*(1-Girdiler!$C$84)+'Vergi'!Z88</f>
        <v/>
      </c>
      <c r="AA90" s="18">
        <f>'Vergi'!Z92*(1-Girdiler!$C$84)+'Vergi'!AA88</f>
        <v/>
      </c>
      <c r="AB90" s="18">
        <f>'Vergi'!AA92*(1-Girdiler!$C$84)+'Vergi'!AB88</f>
        <v/>
      </c>
      <c r="AC90" s="18">
        <f>'Vergi'!AB92*(1-Girdiler!$C$84)+'Vergi'!AC88</f>
        <v/>
      </c>
      <c r="AD90" s="18">
        <f>'Vergi'!AC92*(1-Girdiler!$C$84)+'Vergi'!AD88</f>
        <v/>
      </c>
      <c r="AE90" s="18">
        <f>'Vergi'!AD92*(1-Girdiler!$C$84)+'Vergi'!AE88</f>
        <v/>
      </c>
      <c r="AF90" s="18">
        <f>'Vergi'!AE92*(1-Girdiler!$C$84)+'Vergi'!AF88</f>
        <v/>
      </c>
      <c r="AG90" s="18">
        <f>'Vergi'!AF92*(1-Girdiler!$C$84)+'Vergi'!AG88</f>
        <v/>
      </c>
      <c r="AH90" s="18">
        <f>'Vergi'!AG92*(1-Girdiler!$C$84)+'Vergi'!AH88</f>
        <v/>
      </c>
      <c r="AI90" s="18">
        <f>'Vergi'!AH92*(1-Girdiler!$C$84)+'Vergi'!AI88</f>
        <v/>
      </c>
      <c r="AJ90" s="18">
        <f>'Vergi'!AI92*(1-Girdiler!$C$84)+'Vergi'!AJ88</f>
        <v/>
      </c>
      <c r="AK90" s="18">
        <f>'Vergi'!AJ92*(1-Girdiler!$C$84)+'Vergi'!AK88</f>
        <v/>
      </c>
      <c r="AL90" s="18">
        <f>'Vergi'!AK92*(1-Girdiler!$C$84)+'Vergi'!AL88</f>
        <v/>
      </c>
      <c r="AM90" s="18">
        <f>'Vergi'!AL92*(1-Girdiler!$C$84)+'Vergi'!AM88</f>
        <v/>
      </c>
      <c r="AN90" s="18">
        <f>'Vergi'!AM92*(1-Girdiler!$C$84)+'Vergi'!AN88</f>
        <v/>
      </c>
      <c r="AO90" s="18">
        <f>'Vergi'!AN92*(1-Girdiler!$C$84)+'Vergi'!AO88</f>
        <v/>
      </c>
      <c r="AP90" s="18">
        <f>'Vergi'!AO92*(1-Girdiler!$C$84)+'Vergi'!AP88</f>
        <v/>
      </c>
      <c r="AQ90" s="18">
        <f>'Vergi'!AP92*(1-Girdiler!$C$84)+'Vergi'!AQ88</f>
        <v/>
      </c>
      <c r="AR90" s="18">
        <f>'Vergi'!AQ92*(1-Girdiler!$C$84)+'Vergi'!AR88</f>
        <v/>
      </c>
    </row>
    <row r="91">
      <c r="A91" t="inlineStr">
        <is>
          <t>KDV mahsubu (çıkış KDV'si)</t>
        </is>
      </c>
      <c r="B91" t="inlineStr">
        <is>
          <t>USD</t>
        </is>
      </c>
      <c r="C91" t="inlineStr"/>
      <c r="D91" s="18">
        <f>SUM(F91:AR91)</f>
        <v/>
      </c>
      <c r="E91" s="18" t="n">
        <v>0</v>
      </c>
      <c r="F91" s="18">
        <f>IF('Zaman'!F9&gt;0,MIN('Vergi'!F90,Girdiler!$C$82*'Vergi'!F89),0)</f>
        <v/>
      </c>
      <c r="G91" s="18">
        <f>IF('Zaman'!G9&gt;0,MIN('Vergi'!G90,Girdiler!$C$82*'Vergi'!G89),0)</f>
        <v/>
      </c>
      <c r="H91" s="18">
        <f>IF('Zaman'!H9&gt;0,MIN('Vergi'!H90,Girdiler!$C$82*'Vergi'!H89),0)</f>
        <v/>
      </c>
      <c r="I91" s="18">
        <f>IF('Zaman'!I9&gt;0,MIN('Vergi'!I90,Girdiler!$C$82*'Vergi'!I89),0)</f>
        <v/>
      </c>
      <c r="J91" s="18">
        <f>IF('Zaman'!J9&gt;0,MIN('Vergi'!J90,Girdiler!$C$82*'Vergi'!J89),0)</f>
        <v/>
      </c>
      <c r="K91" s="18">
        <f>IF('Zaman'!K9&gt;0,MIN('Vergi'!K90,Girdiler!$C$82*'Vergi'!K89),0)</f>
        <v/>
      </c>
      <c r="L91" s="18">
        <f>IF('Zaman'!L9&gt;0,MIN('Vergi'!L90,Girdiler!$C$82*'Vergi'!L89),0)</f>
        <v/>
      </c>
      <c r="M91" s="18">
        <f>IF('Zaman'!M9&gt;0,MIN('Vergi'!M90,Girdiler!$C$82*'Vergi'!M89),0)</f>
        <v/>
      </c>
      <c r="N91" s="18">
        <f>IF('Zaman'!N9&gt;0,MIN('Vergi'!N90,Girdiler!$C$82*'Vergi'!N89),0)</f>
        <v/>
      </c>
      <c r="O91" s="18">
        <f>IF('Zaman'!O9&gt;0,MIN('Vergi'!O90,Girdiler!$C$82*'Vergi'!O89),0)</f>
        <v/>
      </c>
      <c r="P91" s="18">
        <f>IF('Zaman'!P9&gt;0,MIN('Vergi'!P90,Girdiler!$C$82*'Vergi'!P89),0)</f>
        <v/>
      </c>
      <c r="Q91" s="18">
        <f>IF('Zaman'!Q9&gt;0,MIN('Vergi'!Q90,Girdiler!$C$82*'Vergi'!Q89),0)</f>
        <v/>
      </c>
      <c r="R91" s="18">
        <f>IF('Zaman'!R9&gt;0,MIN('Vergi'!R90,Girdiler!$C$82*'Vergi'!R89),0)</f>
        <v/>
      </c>
      <c r="S91" s="18">
        <f>IF('Zaman'!S9&gt;0,MIN('Vergi'!S90,Girdiler!$C$82*'Vergi'!S89),0)</f>
        <v/>
      </c>
      <c r="T91" s="18">
        <f>IF('Zaman'!T9&gt;0,MIN('Vergi'!T90,Girdiler!$C$82*'Vergi'!T89),0)</f>
        <v/>
      </c>
      <c r="U91" s="18">
        <f>IF('Zaman'!U9&gt;0,MIN('Vergi'!U90,Girdiler!$C$82*'Vergi'!U89),0)</f>
        <v/>
      </c>
      <c r="V91" s="18">
        <f>IF('Zaman'!V9&gt;0,MIN('Vergi'!V90,Girdiler!$C$82*'Vergi'!V89),0)</f>
        <v/>
      </c>
      <c r="W91" s="18">
        <f>IF('Zaman'!W9&gt;0,MIN('Vergi'!W90,Girdiler!$C$82*'Vergi'!W89),0)</f>
        <v/>
      </c>
      <c r="X91" s="18">
        <f>IF('Zaman'!X9&gt;0,MIN('Vergi'!X90,Girdiler!$C$82*'Vergi'!X89),0)</f>
        <v/>
      </c>
      <c r="Y91" s="18">
        <f>IF('Zaman'!Y9&gt;0,MIN('Vergi'!Y90,Girdiler!$C$82*'Vergi'!Y89),0)</f>
        <v/>
      </c>
      <c r="Z91" s="18">
        <f>IF('Zaman'!Z9&gt;0,MIN('Vergi'!Z90,Girdiler!$C$82*'Vergi'!Z89),0)</f>
        <v/>
      </c>
      <c r="AA91" s="18">
        <f>IF('Zaman'!AA9&gt;0,MIN('Vergi'!AA90,Girdiler!$C$82*'Vergi'!AA89),0)</f>
        <v/>
      </c>
      <c r="AB91" s="18">
        <f>IF('Zaman'!AB9&gt;0,MIN('Vergi'!AB90,Girdiler!$C$82*'Vergi'!AB89),0)</f>
        <v/>
      </c>
      <c r="AC91" s="18">
        <f>IF('Zaman'!AC9&gt;0,MIN('Vergi'!AC90,Girdiler!$C$82*'Vergi'!AC89),0)</f>
        <v/>
      </c>
      <c r="AD91" s="18">
        <f>IF('Zaman'!AD9&gt;0,MIN('Vergi'!AD90,Girdiler!$C$82*'Vergi'!AD89),0)</f>
        <v/>
      </c>
      <c r="AE91" s="18">
        <f>IF('Zaman'!AE9&gt;0,MIN('Vergi'!AE90,Girdiler!$C$82*'Vergi'!AE89),0)</f>
        <v/>
      </c>
      <c r="AF91" s="18">
        <f>IF('Zaman'!AF9&gt;0,MIN('Vergi'!AF90,Girdiler!$C$82*'Vergi'!AF89),0)</f>
        <v/>
      </c>
      <c r="AG91" s="18">
        <f>IF('Zaman'!AG9&gt;0,MIN('Vergi'!AG90,Girdiler!$C$82*'Vergi'!AG89),0)</f>
        <v/>
      </c>
      <c r="AH91" s="18">
        <f>IF('Zaman'!AH9&gt;0,MIN('Vergi'!AH90,Girdiler!$C$82*'Vergi'!AH89),0)</f>
        <v/>
      </c>
      <c r="AI91" s="18">
        <f>IF('Zaman'!AI9&gt;0,MIN('Vergi'!AI90,Girdiler!$C$82*'Vergi'!AI89),0)</f>
        <v/>
      </c>
      <c r="AJ91" s="18">
        <f>IF('Zaman'!AJ9&gt;0,MIN('Vergi'!AJ90,Girdiler!$C$82*'Vergi'!AJ89),0)</f>
        <v/>
      </c>
      <c r="AK91" s="18">
        <f>IF('Zaman'!AK9&gt;0,MIN('Vergi'!AK90,Girdiler!$C$82*'Vergi'!AK89),0)</f>
        <v/>
      </c>
      <c r="AL91" s="18">
        <f>IF('Zaman'!AL9&gt;0,MIN('Vergi'!AL90,Girdiler!$C$82*'Vergi'!AL89),0)</f>
        <v/>
      </c>
      <c r="AM91" s="18">
        <f>IF('Zaman'!AM9&gt;0,MIN('Vergi'!AM90,Girdiler!$C$82*'Vergi'!AM89),0)</f>
        <v/>
      </c>
      <c r="AN91" s="18">
        <f>IF('Zaman'!AN9&gt;0,MIN('Vergi'!AN90,Girdiler!$C$82*'Vergi'!AN89),0)</f>
        <v/>
      </c>
      <c r="AO91" s="18">
        <f>IF('Zaman'!AO9&gt;0,MIN('Vergi'!AO90,Girdiler!$C$82*'Vergi'!AO89),0)</f>
        <v/>
      </c>
      <c r="AP91" s="18">
        <f>IF('Zaman'!AP9&gt;0,MIN('Vergi'!AP90,Girdiler!$C$82*'Vergi'!AP89),0)</f>
        <v/>
      </c>
      <c r="AQ91" s="18">
        <f>IF('Zaman'!AQ9&gt;0,MIN('Vergi'!AQ90,Girdiler!$C$82*'Vergi'!AQ89),0)</f>
        <v/>
      </c>
      <c r="AR91" s="18">
        <f>IF('Zaman'!AR9&gt;0,MIN('Vergi'!AR90,Girdiler!$C$82*'Vergi'!AR89),0)</f>
        <v/>
      </c>
    </row>
    <row r="92">
      <c r="A92" t="inlineStr">
        <is>
          <t>Devreden KDV bakiyesi</t>
        </is>
      </c>
      <c r="B92" t="inlineStr">
        <is>
          <t>USD</t>
        </is>
      </c>
      <c r="C92" t="inlineStr"/>
      <c r="E92" s="18" t="n">
        <v>0</v>
      </c>
      <c r="F92" s="18">
        <f>'Vergi'!F90-'Vergi'!F91</f>
        <v/>
      </c>
      <c r="G92" s="18">
        <f>'Vergi'!G90-'Vergi'!G91</f>
        <v/>
      </c>
      <c r="H92" s="18">
        <f>'Vergi'!H90-'Vergi'!H91</f>
        <v/>
      </c>
      <c r="I92" s="18">
        <f>'Vergi'!I90-'Vergi'!I91</f>
        <v/>
      </c>
      <c r="J92" s="18">
        <f>'Vergi'!J90-'Vergi'!J91</f>
        <v/>
      </c>
      <c r="K92" s="18">
        <f>'Vergi'!K90-'Vergi'!K91</f>
        <v/>
      </c>
      <c r="L92" s="18">
        <f>'Vergi'!L90-'Vergi'!L91</f>
        <v/>
      </c>
      <c r="M92" s="18">
        <f>'Vergi'!M90-'Vergi'!M91</f>
        <v/>
      </c>
      <c r="N92" s="18">
        <f>'Vergi'!N90-'Vergi'!N91</f>
        <v/>
      </c>
      <c r="O92" s="18">
        <f>'Vergi'!O90-'Vergi'!O91</f>
        <v/>
      </c>
      <c r="P92" s="18">
        <f>'Vergi'!P90-'Vergi'!P91</f>
        <v/>
      </c>
      <c r="Q92" s="18">
        <f>'Vergi'!Q90-'Vergi'!Q91</f>
        <v/>
      </c>
      <c r="R92" s="18">
        <f>'Vergi'!R90-'Vergi'!R91</f>
        <v/>
      </c>
      <c r="S92" s="18">
        <f>'Vergi'!S90-'Vergi'!S91</f>
        <v/>
      </c>
      <c r="T92" s="18">
        <f>'Vergi'!T90-'Vergi'!T91</f>
        <v/>
      </c>
      <c r="U92" s="18">
        <f>'Vergi'!U90-'Vergi'!U91</f>
        <v/>
      </c>
      <c r="V92" s="18">
        <f>'Vergi'!V90-'Vergi'!V91</f>
        <v/>
      </c>
      <c r="W92" s="18">
        <f>'Vergi'!W90-'Vergi'!W91</f>
        <v/>
      </c>
      <c r="X92" s="18">
        <f>'Vergi'!X90-'Vergi'!X91</f>
        <v/>
      </c>
      <c r="Y92" s="18">
        <f>'Vergi'!Y90-'Vergi'!Y91</f>
        <v/>
      </c>
      <c r="Z92" s="18">
        <f>'Vergi'!Z90-'Vergi'!Z91</f>
        <v/>
      </c>
      <c r="AA92" s="18">
        <f>'Vergi'!AA90-'Vergi'!AA91</f>
        <v/>
      </c>
      <c r="AB92" s="18">
        <f>'Vergi'!AB90-'Vergi'!AB91</f>
        <v/>
      </c>
      <c r="AC92" s="18">
        <f>'Vergi'!AC90-'Vergi'!AC91</f>
        <v/>
      </c>
      <c r="AD92" s="18">
        <f>'Vergi'!AD90-'Vergi'!AD91</f>
        <v/>
      </c>
      <c r="AE92" s="18">
        <f>'Vergi'!AE90-'Vergi'!AE91</f>
        <v/>
      </c>
      <c r="AF92" s="18">
        <f>'Vergi'!AF90-'Vergi'!AF91</f>
        <v/>
      </c>
      <c r="AG92" s="18">
        <f>'Vergi'!AG90-'Vergi'!AG91</f>
        <v/>
      </c>
      <c r="AH92" s="18">
        <f>'Vergi'!AH90-'Vergi'!AH91</f>
        <v/>
      </c>
      <c r="AI92" s="18">
        <f>'Vergi'!AI90-'Vergi'!AI91</f>
        <v/>
      </c>
      <c r="AJ92" s="18">
        <f>'Vergi'!AJ90-'Vergi'!AJ91</f>
        <v/>
      </c>
      <c r="AK92" s="18">
        <f>'Vergi'!AK90-'Vergi'!AK91</f>
        <v/>
      </c>
      <c r="AL92" s="18">
        <f>'Vergi'!AL90-'Vergi'!AL91</f>
        <v/>
      </c>
      <c r="AM92" s="18">
        <f>'Vergi'!AM90-'Vergi'!AM91</f>
        <v/>
      </c>
      <c r="AN92" s="18">
        <f>'Vergi'!AN90-'Vergi'!AN91</f>
        <v/>
      </c>
      <c r="AO92" s="18">
        <f>'Vergi'!AO90-'Vergi'!AO91</f>
        <v/>
      </c>
      <c r="AP92" s="18">
        <f>'Vergi'!AP90-'Vergi'!AP91</f>
        <v/>
      </c>
      <c r="AQ92" s="18">
        <f>'Vergi'!AQ90-'Vergi'!AQ91</f>
        <v/>
      </c>
      <c r="AR92" s="18">
        <f>'Vergi'!AR90-'Vergi'!AR91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40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9" t="inlineStr">
        <is>
          <t>Borç: DSCR hedefli heykelsi boyutlandırma, geri ödeme, DSCR ve LLCR</t>
        </is>
      </c>
    </row>
    <row r="2"/>
    <row r="3"/>
    <row r="4">
      <c r="A4" s="8" t="inlineStr">
        <is>
          <t>Kalem</t>
        </is>
      </c>
      <c r="B4" s="8" t="inlineStr">
        <is>
          <t>Birim</t>
        </is>
      </c>
      <c r="C4" s="8" t="inlineStr">
        <is>
          <t>Not / kaynak</t>
        </is>
      </c>
      <c r="D4" s="8" t="inlineStr">
        <is>
          <t>Toplam / değer</t>
        </is>
      </c>
      <c r="E4" s="8" t="inlineStr">
        <is>
          <t>t0 (bugün)</t>
        </is>
      </c>
      <c r="F4" s="8" t="n">
        <v>2026</v>
      </c>
      <c r="G4" s="8" t="n">
        <v>2027</v>
      </c>
      <c r="H4" s="8" t="n">
        <v>2028</v>
      </c>
      <c r="I4" s="8" t="n">
        <v>2029</v>
      </c>
      <c r="J4" s="8" t="n">
        <v>2030</v>
      </c>
      <c r="K4" s="8" t="n">
        <v>2031</v>
      </c>
      <c r="L4" s="8" t="n">
        <v>2032</v>
      </c>
      <c r="M4" s="8" t="n">
        <v>2033</v>
      </c>
      <c r="N4" s="8" t="n">
        <v>2034</v>
      </c>
      <c r="O4" s="8" t="n">
        <v>2035</v>
      </c>
      <c r="P4" s="8" t="n">
        <v>2036</v>
      </c>
      <c r="Q4" s="8" t="n">
        <v>2037</v>
      </c>
      <c r="R4" s="8" t="n">
        <v>2038</v>
      </c>
      <c r="S4" s="8" t="n">
        <v>2039</v>
      </c>
      <c r="T4" s="8" t="n">
        <v>2040</v>
      </c>
      <c r="U4" s="8" t="n">
        <v>2041</v>
      </c>
      <c r="V4" s="8" t="n">
        <v>2042</v>
      </c>
      <c r="W4" s="8" t="n">
        <v>2043</v>
      </c>
      <c r="X4" s="8" t="n">
        <v>2044</v>
      </c>
      <c r="Y4" s="8" t="n">
        <v>2045</v>
      </c>
      <c r="Z4" s="8" t="n">
        <v>2046</v>
      </c>
      <c r="AA4" s="8" t="n">
        <v>2047</v>
      </c>
      <c r="AB4" s="8" t="n">
        <v>2048</v>
      </c>
      <c r="AC4" s="8" t="n">
        <v>2049</v>
      </c>
      <c r="AD4" s="8" t="n">
        <v>2050</v>
      </c>
      <c r="AE4" s="8" t="n">
        <v>2051</v>
      </c>
      <c r="AF4" s="8" t="n">
        <v>2052</v>
      </c>
      <c r="AG4" s="8" t="n">
        <v>2053</v>
      </c>
      <c r="AH4" s="8" t="n">
        <v>2054</v>
      </c>
      <c r="AI4" s="8" t="n">
        <v>2055</v>
      </c>
      <c r="AJ4" s="8" t="n">
        <v>2056</v>
      </c>
      <c r="AK4" s="8" t="n">
        <v>2057</v>
      </c>
      <c r="AL4" s="8" t="n">
        <v>2058</v>
      </c>
      <c r="AM4" s="8" t="n">
        <v>2059</v>
      </c>
      <c r="AN4" s="8" t="n">
        <v>2060</v>
      </c>
      <c r="AO4" s="8" t="n">
        <v>2061</v>
      </c>
      <c r="AP4" s="8" t="n">
        <v>2062</v>
      </c>
      <c r="AQ4" s="8" t="n">
        <v>2063</v>
      </c>
      <c r="AR4" s="8" t="n">
        <v>2064</v>
      </c>
    </row>
    <row r="5"/>
    <row r="6">
      <c r="A6" t="inlineStr">
        <is>
          <t>Sözleşmeli CFADS payı</t>
        </is>
      </c>
      <c r="B6" t="inlineStr">
        <is>
          <t>oran</t>
        </is>
      </c>
      <c r="C6" t="inlineStr"/>
      <c r="E6" s="25" t="n">
        <v>0</v>
      </c>
      <c r="F6" s="25">
        <f>IF('Zaman'!F9&gt;0,MIN(MAX('Zaman'!F16*'Zaman'!F17*Uretim!F19/MAX(OPEX!F14,1),0),1),0)</f>
        <v/>
      </c>
      <c r="G6" s="25">
        <f>IF('Zaman'!G9&gt;0,MIN(MAX('Zaman'!G16*'Zaman'!G17*Uretim!G19/MAX(OPEX!G14,1),0),1),0)</f>
        <v/>
      </c>
      <c r="H6" s="25">
        <f>IF('Zaman'!H9&gt;0,MIN(MAX('Zaman'!H16*'Zaman'!H17*Uretim!H19/MAX(OPEX!H14,1),0),1),0)</f>
        <v/>
      </c>
      <c r="I6" s="25">
        <f>IF('Zaman'!I9&gt;0,MIN(MAX('Zaman'!I16*'Zaman'!I17*Uretim!I19/MAX(OPEX!I14,1),0),1),0)</f>
        <v/>
      </c>
      <c r="J6" s="25">
        <f>IF('Zaman'!J9&gt;0,MIN(MAX('Zaman'!J16*'Zaman'!J17*Uretim!J19/MAX(OPEX!J14,1),0),1),0)</f>
        <v/>
      </c>
      <c r="K6" s="25">
        <f>IF('Zaman'!K9&gt;0,MIN(MAX('Zaman'!K16*'Zaman'!K17*Uretim!K19/MAX(OPEX!K14,1),0),1),0)</f>
        <v/>
      </c>
      <c r="L6" s="25">
        <f>IF('Zaman'!L9&gt;0,MIN(MAX('Zaman'!L16*'Zaman'!L17*Uretim!L19/MAX(OPEX!L14,1),0),1),0)</f>
        <v/>
      </c>
      <c r="M6" s="25">
        <f>IF('Zaman'!M9&gt;0,MIN(MAX('Zaman'!M16*'Zaman'!M17*Uretim!M19/MAX(OPEX!M14,1),0),1),0)</f>
        <v/>
      </c>
      <c r="N6" s="25">
        <f>IF('Zaman'!N9&gt;0,MIN(MAX('Zaman'!N16*'Zaman'!N17*Uretim!N19/MAX(OPEX!N14,1),0),1),0)</f>
        <v/>
      </c>
      <c r="O6" s="25">
        <f>IF('Zaman'!O9&gt;0,MIN(MAX('Zaman'!O16*'Zaman'!O17*Uretim!O19/MAX(OPEX!O14,1),0),1),0)</f>
        <v/>
      </c>
      <c r="P6" s="25">
        <f>IF('Zaman'!P9&gt;0,MIN(MAX('Zaman'!P16*'Zaman'!P17*Uretim!P19/MAX(OPEX!P14,1),0),1),0)</f>
        <v/>
      </c>
      <c r="Q6" s="25">
        <f>IF('Zaman'!Q9&gt;0,MIN(MAX('Zaman'!Q16*'Zaman'!Q17*Uretim!Q19/MAX(OPEX!Q14,1),0),1),0)</f>
        <v/>
      </c>
      <c r="R6" s="25">
        <f>IF('Zaman'!R9&gt;0,MIN(MAX('Zaman'!R16*'Zaman'!R17*Uretim!R19/MAX(OPEX!R14,1),0),1),0)</f>
        <v/>
      </c>
      <c r="S6" s="25">
        <f>IF('Zaman'!S9&gt;0,MIN(MAX('Zaman'!S16*'Zaman'!S17*Uretim!S19/MAX(OPEX!S14,1),0),1),0)</f>
        <v/>
      </c>
      <c r="T6" s="25">
        <f>IF('Zaman'!T9&gt;0,MIN(MAX('Zaman'!T16*'Zaman'!T17*Uretim!T19/MAX(OPEX!T14,1),0),1),0)</f>
        <v/>
      </c>
      <c r="U6" s="25">
        <f>IF('Zaman'!U9&gt;0,MIN(MAX('Zaman'!U16*'Zaman'!U17*Uretim!U19/MAX(OPEX!U14,1),0),1),0)</f>
        <v/>
      </c>
      <c r="V6" s="25">
        <f>IF('Zaman'!V9&gt;0,MIN(MAX('Zaman'!V16*'Zaman'!V17*Uretim!V19/MAX(OPEX!V14,1),0),1),0)</f>
        <v/>
      </c>
      <c r="W6" s="25">
        <f>IF('Zaman'!W9&gt;0,MIN(MAX('Zaman'!W16*'Zaman'!W17*Uretim!W19/MAX(OPEX!W14,1),0),1),0)</f>
        <v/>
      </c>
      <c r="X6" s="25">
        <f>IF('Zaman'!X9&gt;0,MIN(MAX('Zaman'!X16*'Zaman'!X17*Uretim!X19/MAX(OPEX!X14,1),0),1),0)</f>
        <v/>
      </c>
      <c r="Y6" s="25">
        <f>IF('Zaman'!Y9&gt;0,MIN(MAX('Zaman'!Y16*'Zaman'!Y17*Uretim!Y19/MAX(OPEX!Y14,1),0),1),0)</f>
        <v/>
      </c>
      <c r="Z6" s="25">
        <f>IF('Zaman'!Z9&gt;0,MIN(MAX('Zaman'!Z16*'Zaman'!Z17*Uretim!Z19/MAX(OPEX!Z14,1),0),1),0)</f>
        <v/>
      </c>
      <c r="AA6" s="25">
        <f>IF('Zaman'!AA9&gt;0,MIN(MAX('Zaman'!AA16*'Zaman'!AA17*Uretim!AA19/MAX(OPEX!AA14,1),0),1),0)</f>
        <v/>
      </c>
      <c r="AB6" s="25">
        <f>IF('Zaman'!AB9&gt;0,MIN(MAX('Zaman'!AB16*'Zaman'!AB17*Uretim!AB19/MAX(OPEX!AB14,1),0),1),0)</f>
        <v/>
      </c>
      <c r="AC6" s="25">
        <f>IF('Zaman'!AC9&gt;0,MIN(MAX('Zaman'!AC16*'Zaman'!AC17*Uretim!AC19/MAX(OPEX!AC14,1),0),1),0)</f>
        <v/>
      </c>
      <c r="AD6" s="25">
        <f>IF('Zaman'!AD9&gt;0,MIN(MAX('Zaman'!AD16*'Zaman'!AD17*Uretim!AD19/MAX(OPEX!AD14,1),0),1),0)</f>
        <v/>
      </c>
      <c r="AE6" s="25">
        <f>IF('Zaman'!AE9&gt;0,MIN(MAX('Zaman'!AE16*'Zaman'!AE17*Uretim!AE19/MAX(OPEX!AE14,1),0),1),0)</f>
        <v/>
      </c>
      <c r="AF6" s="25">
        <f>IF('Zaman'!AF9&gt;0,MIN(MAX('Zaman'!AF16*'Zaman'!AF17*Uretim!AF19/MAX(OPEX!AF14,1),0),1),0)</f>
        <v/>
      </c>
      <c r="AG6" s="25">
        <f>IF('Zaman'!AG9&gt;0,MIN(MAX('Zaman'!AG16*'Zaman'!AG17*Uretim!AG19/MAX(OPEX!AG14,1),0),1),0)</f>
        <v/>
      </c>
      <c r="AH6" s="25">
        <f>IF('Zaman'!AH9&gt;0,MIN(MAX('Zaman'!AH16*'Zaman'!AH17*Uretim!AH19/MAX(OPEX!AH14,1),0),1),0)</f>
        <v/>
      </c>
      <c r="AI6" s="25">
        <f>IF('Zaman'!AI9&gt;0,MIN(MAX('Zaman'!AI16*'Zaman'!AI17*Uretim!AI19/MAX(OPEX!AI14,1),0),1),0)</f>
        <v/>
      </c>
      <c r="AJ6" s="25">
        <f>IF('Zaman'!AJ9&gt;0,MIN(MAX('Zaman'!AJ16*'Zaman'!AJ17*Uretim!AJ19/MAX(OPEX!AJ14,1),0),1),0)</f>
        <v/>
      </c>
      <c r="AK6" s="25">
        <f>IF('Zaman'!AK9&gt;0,MIN(MAX('Zaman'!AK16*'Zaman'!AK17*Uretim!AK19/MAX(OPEX!AK14,1),0),1),0)</f>
        <v/>
      </c>
      <c r="AL6" s="25">
        <f>IF('Zaman'!AL9&gt;0,MIN(MAX('Zaman'!AL16*'Zaman'!AL17*Uretim!AL19/MAX(OPEX!AL14,1),0),1),0)</f>
        <v/>
      </c>
      <c r="AM6" s="25">
        <f>IF('Zaman'!AM9&gt;0,MIN(MAX('Zaman'!AM16*'Zaman'!AM17*Uretim!AM19/MAX(OPEX!AM14,1),0),1),0)</f>
        <v/>
      </c>
      <c r="AN6" s="25">
        <f>IF('Zaman'!AN9&gt;0,MIN(MAX('Zaman'!AN16*'Zaman'!AN17*Uretim!AN19/MAX(OPEX!AN14,1),0),1),0)</f>
        <v/>
      </c>
      <c r="AO6" s="25">
        <f>IF('Zaman'!AO9&gt;0,MIN(MAX('Zaman'!AO16*'Zaman'!AO17*Uretim!AO19/MAX(OPEX!AO14,1),0),1),0)</f>
        <v/>
      </c>
      <c r="AP6" s="25">
        <f>IF('Zaman'!AP9&gt;0,MIN(MAX('Zaman'!AP16*'Zaman'!AP17*Uretim!AP19/MAX(OPEX!AP14,1),0),1),0)</f>
        <v/>
      </c>
      <c r="AQ6" s="25">
        <f>IF('Zaman'!AQ9&gt;0,MIN(MAX('Zaman'!AQ16*'Zaman'!AQ17*Uretim!AQ19/MAX(OPEX!AQ14,1),0),1),0)</f>
        <v/>
      </c>
      <c r="AR6" s="25">
        <f>IF('Zaman'!AR9&gt;0,MIN(MAX('Zaman'!AR16*'Zaman'!AR17*Uretim!AR19/MAX(OPEX!AR14,1),0),1),0)</f>
        <v/>
      </c>
    </row>
    <row r="7">
      <c r="A7" t="inlineStr">
        <is>
          <t>Hedef DSCR (harmanlanmış)</t>
        </is>
      </c>
      <c r="B7" t="inlineStr">
        <is>
          <t>kat</t>
        </is>
      </c>
      <c r="C7" t="inlineStr"/>
      <c r="E7" s="25" t="n">
        <v>0</v>
      </c>
      <c r="F7" s="25">
        <f>IF('Zaman'!F9&gt;0,1/('Borc'!F6/Girdiler!$C$77+(1-'Borc'!F6)/Girdiler!$C$76),0)</f>
        <v/>
      </c>
      <c r="G7" s="25">
        <f>IF('Zaman'!G9&gt;0,1/('Borc'!G6/Girdiler!$C$77+(1-'Borc'!G6)/Girdiler!$C$76),0)</f>
        <v/>
      </c>
      <c r="H7" s="25">
        <f>IF('Zaman'!H9&gt;0,1/('Borc'!H6/Girdiler!$C$77+(1-'Borc'!H6)/Girdiler!$C$76),0)</f>
        <v/>
      </c>
      <c r="I7" s="25">
        <f>IF('Zaman'!I9&gt;0,1/('Borc'!I6/Girdiler!$C$77+(1-'Borc'!I6)/Girdiler!$C$76),0)</f>
        <v/>
      </c>
      <c r="J7" s="25">
        <f>IF('Zaman'!J9&gt;0,1/('Borc'!J6/Girdiler!$C$77+(1-'Borc'!J6)/Girdiler!$C$76),0)</f>
        <v/>
      </c>
      <c r="K7" s="25">
        <f>IF('Zaman'!K9&gt;0,1/('Borc'!K6/Girdiler!$C$77+(1-'Borc'!K6)/Girdiler!$C$76),0)</f>
        <v/>
      </c>
      <c r="L7" s="25">
        <f>IF('Zaman'!L9&gt;0,1/('Borc'!L6/Girdiler!$C$77+(1-'Borc'!L6)/Girdiler!$C$76),0)</f>
        <v/>
      </c>
      <c r="M7" s="25">
        <f>IF('Zaman'!M9&gt;0,1/('Borc'!M6/Girdiler!$C$77+(1-'Borc'!M6)/Girdiler!$C$76),0)</f>
        <v/>
      </c>
      <c r="N7" s="25">
        <f>IF('Zaman'!N9&gt;0,1/('Borc'!N6/Girdiler!$C$77+(1-'Borc'!N6)/Girdiler!$C$76),0)</f>
        <v/>
      </c>
      <c r="O7" s="25">
        <f>IF('Zaman'!O9&gt;0,1/('Borc'!O6/Girdiler!$C$77+(1-'Borc'!O6)/Girdiler!$C$76),0)</f>
        <v/>
      </c>
      <c r="P7" s="25">
        <f>IF('Zaman'!P9&gt;0,1/('Borc'!P6/Girdiler!$C$77+(1-'Borc'!P6)/Girdiler!$C$76),0)</f>
        <v/>
      </c>
      <c r="Q7" s="25">
        <f>IF('Zaman'!Q9&gt;0,1/('Borc'!Q6/Girdiler!$C$77+(1-'Borc'!Q6)/Girdiler!$C$76),0)</f>
        <v/>
      </c>
      <c r="R7" s="25">
        <f>IF('Zaman'!R9&gt;0,1/('Borc'!R6/Girdiler!$C$77+(1-'Borc'!R6)/Girdiler!$C$76),0)</f>
        <v/>
      </c>
      <c r="S7" s="25">
        <f>IF('Zaman'!S9&gt;0,1/('Borc'!S6/Girdiler!$C$77+(1-'Borc'!S6)/Girdiler!$C$76),0)</f>
        <v/>
      </c>
      <c r="T7" s="25">
        <f>IF('Zaman'!T9&gt;0,1/('Borc'!T6/Girdiler!$C$77+(1-'Borc'!T6)/Girdiler!$C$76),0)</f>
        <v/>
      </c>
      <c r="U7" s="25">
        <f>IF('Zaman'!U9&gt;0,1/('Borc'!U6/Girdiler!$C$77+(1-'Borc'!U6)/Girdiler!$C$76),0)</f>
        <v/>
      </c>
      <c r="V7" s="25">
        <f>IF('Zaman'!V9&gt;0,1/('Borc'!V6/Girdiler!$C$77+(1-'Borc'!V6)/Girdiler!$C$76),0)</f>
        <v/>
      </c>
      <c r="W7" s="25">
        <f>IF('Zaman'!W9&gt;0,1/('Borc'!W6/Girdiler!$C$77+(1-'Borc'!W6)/Girdiler!$C$76),0)</f>
        <v/>
      </c>
      <c r="X7" s="25">
        <f>IF('Zaman'!X9&gt;0,1/('Borc'!X6/Girdiler!$C$77+(1-'Borc'!X6)/Girdiler!$C$76),0)</f>
        <v/>
      </c>
      <c r="Y7" s="25">
        <f>IF('Zaman'!Y9&gt;0,1/('Borc'!Y6/Girdiler!$C$77+(1-'Borc'!Y6)/Girdiler!$C$76),0)</f>
        <v/>
      </c>
      <c r="Z7" s="25">
        <f>IF('Zaman'!Z9&gt;0,1/('Borc'!Z6/Girdiler!$C$77+(1-'Borc'!Z6)/Girdiler!$C$76),0)</f>
        <v/>
      </c>
      <c r="AA7" s="25">
        <f>IF('Zaman'!AA9&gt;0,1/('Borc'!AA6/Girdiler!$C$77+(1-'Borc'!AA6)/Girdiler!$C$76),0)</f>
        <v/>
      </c>
      <c r="AB7" s="25">
        <f>IF('Zaman'!AB9&gt;0,1/('Borc'!AB6/Girdiler!$C$77+(1-'Borc'!AB6)/Girdiler!$C$76),0)</f>
        <v/>
      </c>
      <c r="AC7" s="25">
        <f>IF('Zaman'!AC9&gt;0,1/('Borc'!AC6/Girdiler!$C$77+(1-'Borc'!AC6)/Girdiler!$C$76),0)</f>
        <v/>
      </c>
      <c r="AD7" s="25">
        <f>IF('Zaman'!AD9&gt;0,1/('Borc'!AD6/Girdiler!$C$77+(1-'Borc'!AD6)/Girdiler!$C$76),0)</f>
        <v/>
      </c>
      <c r="AE7" s="25">
        <f>IF('Zaman'!AE9&gt;0,1/('Borc'!AE6/Girdiler!$C$77+(1-'Borc'!AE6)/Girdiler!$C$76),0)</f>
        <v/>
      </c>
      <c r="AF7" s="25">
        <f>IF('Zaman'!AF9&gt;0,1/('Borc'!AF6/Girdiler!$C$77+(1-'Borc'!AF6)/Girdiler!$C$76),0)</f>
        <v/>
      </c>
      <c r="AG7" s="25">
        <f>IF('Zaman'!AG9&gt;0,1/('Borc'!AG6/Girdiler!$C$77+(1-'Borc'!AG6)/Girdiler!$C$76),0)</f>
        <v/>
      </c>
      <c r="AH7" s="25">
        <f>IF('Zaman'!AH9&gt;0,1/('Borc'!AH6/Girdiler!$C$77+(1-'Borc'!AH6)/Girdiler!$C$76),0)</f>
        <v/>
      </c>
      <c r="AI7" s="25">
        <f>IF('Zaman'!AI9&gt;0,1/('Borc'!AI6/Girdiler!$C$77+(1-'Borc'!AI6)/Girdiler!$C$76),0)</f>
        <v/>
      </c>
      <c r="AJ7" s="25">
        <f>IF('Zaman'!AJ9&gt;0,1/('Borc'!AJ6/Girdiler!$C$77+(1-'Borc'!AJ6)/Girdiler!$C$76),0)</f>
        <v/>
      </c>
      <c r="AK7" s="25">
        <f>IF('Zaman'!AK9&gt;0,1/('Borc'!AK6/Girdiler!$C$77+(1-'Borc'!AK6)/Girdiler!$C$76),0)</f>
        <v/>
      </c>
      <c r="AL7" s="25">
        <f>IF('Zaman'!AL9&gt;0,1/('Borc'!AL6/Girdiler!$C$77+(1-'Borc'!AL6)/Girdiler!$C$76),0)</f>
        <v/>
      </c>
      <c r="AM7" s="25">
        <f>IF('Zaman'!AM9&gt;0,1/('Borc'!AM6/Girdiler!$C$77+(1-'Borc'!AM6)/Girdiler!$C$76),0)</f>
        <v/>
      </c>
      <c r="AN7" s="25">
        <f>IF('Zaman'!AN9&gt;0,1/('Borc'!AN6/Girdiler!$C$77+(1-'Borc'!AN6)/Girdiler!$C$76),0)</f>
        <v/>
      </c>
      <c r="AO7" s="25">
        <f>IF('Zaman'!AO9&gt;0,1/('Borc'!AO6/Girdiler!$C$77+(1-'Borc'!AO6)/Girdiler!$C$76),0)</f>
        <v/>
      </c>
      <c r="AP7" s="25">
        <f>IF('Zaman'!AP9&gt;0,1/('Borc'!AP6/Girdiler!$C$77+(1-'Borc'!AP6)/Girdiler!$C$76),0)</f>
        <v/>
      </c>
      <c r="AQ7" s="25">
        <f>IF('Zaman'!AQ9&gt;0,1/('Borc'!AQ6/Girdiler!$C$77+(1-'Borc'!AQ6)/Girdiler!$C$76),0)</f>
        <v/>
      </c>
      <c r="AR7" s="25">
        <f>IF('Zaman'!AR9&gt;0,1/('Borc'!AR6/Girdiler!$C$77+(1-'Borc'!AR6)/Girdiler!$C$76),0)</f>
        <v/>
      </c>
    </row>
    <row r="8">
      <c r="A8" t="inlineStr">
        <is>
          <t>Borç servisi (tavan öncesi, nominal)</t>
        </is>
      </c>
      <c r="B8" t="inlineStr">
        <is>
          <t>USD</t>
        </is>
      </c>
      <c r="C8" t="inlineStr"/>
      <c r="D8" s="18">
        <f>SUM(F8:AR8)</f>
        <v/>
      </c>
      <c r="E8" s="18" t="n">
        <v>0</v>
      </c>
      <c r="F8" s="18">
        <f>IF(AND('Zaman'!F9&gt;=1,'Zaman'!F9&lt;=Girdiler!$C$92),MAX(Vergi!F85,0)*'Zaman'!F11/'Borc'!F7,0)</f>
        <v/>
      </c>
      <c r="G8" s="18">
        <f>IF(AND('Zaman'!G9&gt;=1,'Zaman'!G9&lt;=Girdiler!$C$92),MAX(Vergi!G85,0)*'Zaman'!G11/'Borc'!G7,0)</f>
        <v/>
      </c>
      <c r="H8" s="18">
        <f>IF(AND('Zaman'!H9&gt;=1,'Zaman'!H9&lt;=Girdiler!$C$92),MAX(Vergi!H85,0)*'Zaman'!H11/'Borc'!H7,0)</f>
        <v/>
      </c>
      <c r="I8" s="18">
        <f>IF(AND('Zaman'!I9&gt;=1,'Zaman'!I9&lt;=Girdiler!$C$92),MAX(Vergi!I85,0)*'Zaman'!I11/'Borc'!I7,0)</f>
        <v/>
      </c>
      <c r="J8" s="18">
        <f>IF(AND('Zaman'!J9&gt;=1,'Zaman'!J9&lt;=Girdiler!$C$92),MAX(Vergi!J85,0)*'Zaman'!J11/'Borc'!J7,0)</f>
        <v/>
      </c>
      <c r="K8" s="18">
        <f>IF(AND('Zaman'!K9&gt;=1,'Zaman'!K9&lt;=Girdiler!$C$92),MAX(Vergi!K85,0)*'Zaman'!K11/'Borc'!K7,0)</f>
        <v/>
      </c>
      <c r="L8" s="18">
        <f>IF(AND('Zaman'!L9&gt;=1,'Zaman'!L9&lt;=Girdiler!$C$92),MAX(Vergi!L85,0)*'Zaman'!L11/'Borc'!L7,0)</f>
        <v/>
      </c>
      <c r="M8" s="18">
        <f>IF(AND('Zaman'!M9&gt;=1,'Zaman'!M9&lt;=Girdiler!$C$92),MAX(Vergi!M85,0)*'Zaman'!M11/'Borc'!M7,0)</f>
        <v/>
      </c>
      <c r="N8" s="18">
        <f>IF(AND('Zaman'!N9&gt;=1,'Zaman'!N9&lt;=Girdiler!$C$92),MAX(Vergi!N85,0)*'Zaman'!N11/'Borc'!N7,0)</f>
        <v/>
      </c>
      <c r="O8" s="18">
        <f>IF(AND('Zaman'!O9&gt;=1,'Zaman'!O9&lt;=Girdiler!$C$92),MAX(Vergi!O85,0)*'Zaman'!O11/'Borc'!O7,0)</f>
        <v/>
      </c>
      <c r="P8" s="18">
        <f>IF(AND('Zaman'!P9&gt;=1,'Zaman'!P9&lt;=Girdiler!$C$92),MAX(Vergi!P85,0)*'Zaman'!P11/'Borc'!P7,0)</f>
        <v/>
      </c>
      <c r="Q8" s="18">
        <f>IF(AND('Zaman'!Q9&gt;=1,'Zaman'!Q9&lt;=Girdiler!$C$92),MAX(Vergi!Q85,0)*'Zaman'!Q11/'Borc'!Q7,0)</f>
        <v/>
      </c>
      <c r="R8" s="18">
        <f>IF(AND('Zaman'!R9&gt;=1,'Zaman'!R9&lt;=Girdiler!$C$92),MAX(Vergi!R85,0)*'Zaman'!R11/'Borc'!R7,0)</f>
        <v/>
      </c>
      <c r="S8" s="18">
        <f>IF(AND('Zaman'!S9&gt;=1,'Zaman'!S9&lt;=Girdiler!$C$92),MAX(Vergi!S85,0)*'Zaman'!S11/'Borc'!S7,0)</f>
        <v/>
      </c>
      <c r="T8" s="18">
        <f>IF(AND('Zaman'!T9&gt;=1,'Zaman'!T9&lt;=Girdiler!$C$92),MAX(Vergi!T85,0)*'Zaman'!T11/'Borc'!T7,0)</f>
        <v/>
      </c>
      <c r="U8" s="18">
        <f>IF(AND('Zaman'!U9&gt;=1,'Zaman'!U9&lt;=Girdiler!$C$92),MAX(Vergi!U85,0)*'Zaman'!U11/'Borc'!U7,0)</f>
        <v/>
      </c>
      <c r="V8" s="18">
        <f>IF(AND('Zaman'!V9&gt;=1,'Zaman'!V9&lt;=Girdiler!$C$92),MAX(Vergi!V85,0)*'Zaman'!V11/'Borc'!V7,0)</f>
        <v/>
      </c>
      <c r="W8" s="18">
        <f>IF(AND('Zaman'!W9&gt;=1,'Zaman'!W9&lt;=Girdiler!$C$92),MAX(Vergi!W85,0)*'Zaman'!W11/'Borc'!W7,0)</f>
        <v/>
      </c>
      <c r="X8" s="18">
        <f>IF(AND('Zaman'!X9&gt;=1,'Zaman'!X9&lt;=Girdiler!$C$92),MAX(Vergi!X85,0)*'Zaman'!X11/'Borc'!X7,0)</f>
        <v/>
      </c>
      <c r="Y8" s="18">
        <f>IF(AND('Zaman'!Y9&gt;=1,'Zaman'!Y9&lt;=Girdiler!$C$92),MAX(Vergi!Y85,0)*'Zaman'!Y11/'Borc'!Y7,0)</f>
        <v/>
      </c>
      <c r="Z8" s="18">
        <f>IF(AND('Zaman'!Z9&gt;=1,'Zaman'!Z9&lt;=Girdiler!$C$92),MAX(Vergi!Z85,0)*'Zaman'!Z11/'Borc'!Z7,0)</f>
        <v/>
      </c>
      <c r="AA8" s="18">
        <f>IF(AND('Zaman'!AA9&gt;=1,'Zaman'!AA9&lt;=Girdiler!$C$92),MAX(Vergi!AA85,0)*'Zaman'!AA11/'Borc'!AA7,0)</f>
        <v/>
      </c>
      <c r="AB8" s="18">
        <f>IF(AND('Zaman'!AB9&gt;=1,'Zaman'!AB9&lt;=Girdiler!$C$92),MAX(Vergi!AB85,0)*'Zaman'!AB11/'Borc'!AB7,0)</f>
        <v/>
      </c>
      <c r="AC8" s="18">
        <f>IF(AND('Zaman'!AC9&gt;=1,'Zaman'!AC9&lt;=Girdiler!$C$92),MAX(Vergi!AC85,0)*'Zaman'!AC11/'Borc'!AC7,0)</f>
        <v/>
      </c>
      <c r="AD8" s="18">
        <f>IF(AND('Zaman'!AD9&gt;=1,'Zaman'!AD9&lt;=Girdiler!$C$92),MAX(Vergi!AD85,0)*'Zaman'!AD11/'Borc'!AD7,0)</f>
        <v/>
      </c>
      <c r="AE8" s="18">
        <f>IF(AND('Zaman'!AE9&gt;=1,'Zaman'!AE9&lt;=Girdiler!$C$92),MAX(Vergi!AE85,0)*'Zaman'!AE11/'Borc'!AE7,0)</f>
        <v/>
      </c>
      <c r="AF8" s="18">
        <f>IF(AND('Zaman'!AF9&gt;=1,'Zaman'!AF9&lt;=Girdiler!$C$92),MAX(Vergi!AF85,0)*'Zaman'!AF11/'Borc'!AF7,0)</f>
        <v/>
      </c>
      <c r="AG8" s="18">
        <f>IF(AND('Zaman'!AG9&gt;=1,'Zaman'!AG9&lt;=Girdiler!$C$92),MAX(Vergi!AG85,0)*'Zaman'!AG11/'Borc'!AG7,0)</f>
        <v/>
      </c>
      <c r="AH8" s="18">
        <f>IF(AND('Zaman'!AH9&gt;=1,'Zaman'!AH9&lt;=Girdiler!$C$92),MAX(Vergi!AH85,0)*'Zaman'!AH11/'Borc'!AH7,0)</f>
        <v/>
      </c>
      <c r="AI8" s="18">
        <f>IF(AND('Zaman'!AI9&gt;=1,'Zaman'!AI9&lt;=Girdiler!$C$92),MAX(Vergi!AI85,0)*'Zaman'!AI11/'Borc'!AI7,0)</f>
        <v/>
      </c>
      <c r="AJ8" s="18">
        <f>IF(AND('Zaman'!AJ9&gt;=1,'Zaman'!AJ9&lt;=Girdiler!$C$92),MAX(Vergi!AJ85,0)*'Zaman'!AJ11/'Borc'!AJ7,0)</f>
        <v/>
      </c>
      <c r="AK8" s="18">
        <f>IF(AND('Zaman'!AK9&gt;=1,'Zaman'!AK9&lt;=Girdiler!$C$92),MAX(Vergi!AK85,0)*'Zaman'!AK11/'Borc'!AK7,0)</f>
        <v/>
      </c>
      <c r="AL8" s="18">
        <f>IF(AND('Zaman'!AL9&gt;=1,'Zaman'!AL9&lt;=Girdiler!$C$92),MAX(Vergi!AL85,0)*'Zaman'!AL11/'Borc'!AL7,0)</f>
        <v/>
      </c>
      <c r="AM8" s="18">
        <f>IF(AND('Zaman'!AM9&gt;=1,'Zaman'!AM9&lt;=Girdiler!$C$92),MAX(Vergi!AM85,0)*'Zaman'!AM11/'Borc'!AM7,0)</f>
        <v/>
      </c>
      <c r="AN8" s="18">
        <f>IF(AND('Zaman'!AN9&gt;=1,'Zaman'!AN9&lt;=Girdiler!$C$92),MAX(Vergi!AN85,0)*'Zaman'!AN11/'Borc'!AN7,0)</f>
        <v/>
      </c>
      <c r="AO8" s="18">
        <f>IF(AND('Zaman'!AO9&gt;=1,'Zaman'!AO9&lt;=Girdiler!$C$92),MAX(Vergi!AO85,0)*'Zaman'!AO11/'Borc'!AO7,0)</f>
        <v/>
      </c>
      <c r="AP8" s="18">
        <f>IF(AND('Zaman'!AP9&gt;=1,'Zaman'!AP9&lt;=Girdiler!$C$92),MAX(Vergi!AP85,0)*'Zaman'!AP11/'Borc'!AP7,0)</f>
        <v/>
      </c>
      <c r="AQ8" s="18">
        <f>IF(AND('Zaman'!AQ9&gt;=1,'Zaman'!AQ9&lt;=Girdiler!$C$92),MAX(Vergi!AQ85,0)*'Zaman'!AQ11/'Borc'!AQ7,0)</f>
        <v/>
      </c>
      <c r="AR8" s="18">
        <f>IF(AND('Zaman'!AR9&gt;=1,'Zaman'!AR9&lt;=Girdiler!$C$92),MAX(Vergi!AR85,0)*'Zaman'!AR11/'Borc'!AR7,0)</f>
        <v/>
      </c>
    </row>
    <row r="9">
      <c r="A9" t="inlineStr">
        <is>
          <t>Servisin bugünkü değeri (nominal faizle, k'ya göre)</t>
        </is>
      </c>
      <c r="B9" t="inlineStr">
        <is>
          <t>USD</t>
        </is>
      </c>
      <c r="C9" t="inlineStr"/>
      <c r="D9" s="18">
        <f>SUM(F9:AR9)</f>
        <v/>
      </c>
      <c r="E9" s="18" t="n">
        <v>0</v>
      </c>
      <c r="F9" s="18">
        <f>IF('Zaman'!F9&gt;0,'Borc'!F8/(1+Girdiler!$C$80)^'Zaman'!F9,0)</f>
        <v/>
      </c>
      <c r="G9" s="18">
        <f>IF('Zaman'!G9&gt;0,'Borc'!G8/(1+Girdiler!$C$80)^'Zaman'!G9,0)</f>
        <v/>
      </c>
      <c r="H9" s="18">
        <f>IF('Zaman'!H9&gt;0,'Borc'!H8/(1+Girdiler!$C$80)^'Zaman'!H9,0)</f>
        <v/>
      </c>
      <c r="I9" s="18">
        <f>IF('Zaman'!I9&gt;0,'Borc'!I8/(1+Girdiler!$C$80)^'Zaman'!I9,0)</f>
        <v/>
      </c>
      <c r="J9" s="18">
        <f>IF('Zaman'!J9&gt;0,'Borc'!J8/(1+Girdiler!$C$80)^'Zaman'!J9,0)</f>
        <v/>
      </c>
      <c r="K9" s="18">
        <f>IF('Zaman'!K9&gt;0,'Borc'!K8/(1+Girdiler!$C$80)^'Zaman'!K9,0)</f>
        <v/>
      </c>
      <c r="L9" s="18">
        <f>IF('Zaman'!L9&gt;0,'Borc'!L8/(1+Girdiler!$C$80)^'Zaman'!L9,0)</f>
        <v/>
      </c>
      <c r="M9" s="18">
        <f>IF('Zaman'!M9&gt;0,'Borc'!M8/(1+Girdiler!$C$80)^'Zaman'!M9,0)</f>
        <v/>
      </c>
      <c r="N9" s="18">
        <f>IF('Zaman'!N9&gt;0,'Borc'!N8/(1+Girdiler!$C$80)^'Zaman'!N9,0)</f>
        <v/>
      </c>
      <c r="O9" s="18">
        <f>IF('Zaman'!O9&gt;0,'Borc'!O8/(1+Girdiler!$C$80)^'Zaman'!O9,0)</f>
        <v/>
      </c>
      <c r="P9" s="18">
        <f>IF('Zaman'!P9&gt;0,'Borc'!P8/(1+Girdiler!$C$80)^'Zaman'!P9,0)</f>
        <v/>
      </c>
      <c r="Q9" s="18">
        <f>IF('Zaman'!Q9&gt;0,'Borc'!Q8/(1+Girdiler!$C$80)^'Zaman'!Q9,0)</f>
        <v/>
      </c>
      <c r="R9" s="18">
        <f>IF('Zaman'!R9&gt;0,'Borc'!R8/(1+Girdiler!$C$80)^'Zaman'!R9,0)</f>
        <v/>
      </c>
      <c r="S9" s="18">
        <f>IF('Zaman'!S9&gt;0,'Borc'!S8/(1+Girdiler!$C$80)^'Zaman'!S9,0)</f>
        <v/>
      </c>
      <c r="T9" s="18">
        <f>IF('Zaman'!T9&gt;0,'Borc'!T8/(1+Girdiler!$C$80)^'Zaman'!T9,0)</f>
        <v/>
      </c>
      <c r="U9" s="18">
        <f>IF('Zaman'!U9&gt;0,'Borc'!U8/(1+Girdiler!$C$80)^'Zaman'!U9,0)</f>
        <v/>
      </c>
      <c r="V9" s="18">
        <f>IF('Zaman'!V9&gt;0,'Borc'!V8/(1+Girdiler!$C$80)^'Zaman'!V9,0)</f>
        <v/>
      </c>
      <c r="W9" s="18">
        <f>IF('Zaman'!W9&gt;0,'Borc'!W8/(1+Girdiler!$C$80)^'Zaman'!W9,0)</f>
        <v/>
      </c>
      <c r="X9" s="18">
        <f>IF('Zaman'!X9&gt;0,'Borc'!X8/(1+Girdiler!$C$80)^'Zaman'!X9,0)</f>
        <v/>
      </c>
      <c r="Y9" s="18">
        <f>IF('Zaman'!Y9&gt;0,'Borc'!Y8/(1+Girdiler!$C$80)^'Zaman'!Y9,0)</f>
        <v/>
      </c>
      <c r="Z9" s="18">
        <f>IF('Zaman'!Z9&gt;0,'Borc'!Z8/(1+Girdiler!$C$80)^'Zaman'!Z9,0)</f>
        <v/>
      </c>
      <c r="AA9" s="18">
        <f>IF('Zaman'!AA9&gt;0,'Borc'!AA8/(1+Girdiler!$C$80)^'Zaman'!AA9,0)</f>
        <v/>
      </c>
      <c r="AB9" s="18">
        <f>IF('Zaman'!AB9&gt;0,'Borc'!AB8/(1+Girdiler!$C$80)^'Zaman'!AB9,0)</f>
        <v/>
      </c>
      <c r="AC9" s="18">
        <f>IF('Zaman'!AC9&gt;0,'Borc'!AC8/(1+Girdiler!$C$80)^'Zaman'!AC9,0)</f>
        <v/>
      </c>
      <c r="AD9" s="18">
        <f>IF('Zaman'!AD9&gt;0,'Borc'!AD8/(1+Girdiler!$C$80)^'Zaman'!AD9,0)</f>
        <v/>
      </c>
      <c r="AE9" s="18">
        <f>IF('Zaman'!AE9&gt;0,'Borc'!AE8/(1+Girdiler!$C$80)^'Zaman'!AE9,0)</f>
        <v/>
      </c>
      <c r="AF9" s="18">
        <f>IF('Zaman'!AF9&gt;0,'Borc'!AF8/(1+Girdiler!$C$80)^'Zaman'!AF9,0)</f>
        <v/>
      </c>
      <c r="AG9" s="18">
        <f>IF('Zaman'!AG9&gt;0,'Borc'!AG8/(1+Girdiler!$C$80)^'Zaman'!AG9,0)</f>
        <v/>
      </c>
      <c r="AH9" s="18">
        <f>IF('Zaman'!AH9&gt;0,'Borc'!AH8/(1+Girdiler!$C$80)^'Zaman'!AH9,0)</f>
        <v/>
      </c>
      <c r="AI9" s="18">
        <f>IF('Zaman'!AI9&gt;0,'Borc'!AI8/(1+Girdiler!$C$80)^'Zaman'!AI9,0)</f>
        <v/>
      </c>
      <c r="AJ9" s="18">
        <f>IF('Zaman'!AJ9&gt;0,'Borc'!AJ8/(1+Girdiler!$C$80)^'Zaman'!AJ9,0)</f>
        <v/>
      </c>
      <c r="AK9" s="18">
        <f>IF('Zaman'!AK9&gt;0,'Borc'!AK8/(1+Girdiler!$C$80)^'Zaman'!AK9,0)</f>
        <v/>
      </c>
      <c r="AL9" s="18">
        <f>IF('Zaman'!AL9&gt;0,'Borc'!AL8/(1+Girdiler!$C$80)^'Zaman'!AL9,0)</f>
        <v/>
      </c>
      <c r="AM9" s="18">
        <f>IF('Zaman'!AM9&gt;0,'Borc'!AM8/(1+Girdiler!$C$80)^'Zaman'!AM9,0)</f>
        <v/>
      </c>
      <c r="AN9" s="18">
        <f>IF('Zaman'!AN9&gt;0,'Borc'!AN8/(1+Girdiler!$C$80)^'Zaman'!AN9,0)</f>
        <v/>
      </c>
      <c r="AO9" s="18">
        <f>IF('Zaman'!AO9&gt;0,'Borc'!AO8/(1+Girdiler!$C$80)^'Zaman'!AO9,0)</f>
        <v/>
      </c>
      <c r="AP9" s="18">
        <f>IF('Zaman'!AP9&gt;0,'Borc'!AP8/(1+Girdiler!$C$80)^'Zaman'!AP9,0)</f>
        <v/>
      </c>
      <c r="AQ9" s="18">
        <f>IF('Zaman'!AQ9&gt;0,'Borc'!AQ8/(1+Girdiler!$C$80)^'Zaman'!AQ9,0)</f>
        <v/>
      </c>
      <c r="AR9" s="18">
        <f>IF('Zaman'!AR9&gt;0,'Borc'!AR8/(1+Girdiler!$C$80)^'Zaman'!AR9,0)</f>
        <v/>
      </c>
    </row>
    <row r="10">
      <c r="A10" t="inlineStr">
        <is>
          <t>Borç (tavan öncesi, nominal)</t>
        </is>
      </c>
      <c r="D10" s="18">
        <f>SUM('Borc'!$F$9:$AR$9)</f>
        <v/>
      </c>
    </row>
    <row r="11">
      <c r="A11" t="inlineStr">
        <is>
          <t>Ölçek (azami borç/CAPEX tavanı)</t>
        </is>
      </c>
      <c r="D11" s="21">
        <f>MIN(1,Girdiler!$C$81*Girdiler!$C$93/MAX(Borc!$D$10,1))</f>
        <v/>
      </c>
    </row>
    <row r="12">
      <c r="A12" t="inlineStr">
        <is>
          <t>Borç tutarı (nominal)</t>
        </is>
      </c>
      <c r="D12" s="18">
        <f>Borc!$D$10*Borc!$D$11</f>
        <v/>
      </c>
    </row>
    <row r="13">
      <c r="A13" t="inlineStr">
        <is>
          <t>Borç tutarı (reel 2026)</t>
        </is>
      </c>
      <c r="D13" s="18">
        <f>Borc!$D$12/(1+Girdiler!$C$73)^2</f>
        <v/>
      </c>
    </row>
    <row r="14">
      <c r="A14" t="inlineStr">
        <is>
          <t>Borç servisi (nominal)</t>
        </is>
      </c>
      <c r="B14" t="inlineStr">
        <is>
          <t>USD</t>
        </is>
      </c>
      <c r="C14" t="inlineStr"/>
      <c r="D14" s="18">
        <f>SUM(F14:AR14)</f>
        <v/>
      </c>
      <c r="E14" s="18" t="n">
        <v>0</v>
      </c>
      <c r="F14" s="18">
        <f>'Borc'!F8*Borc!$D$11</f>
        <v/>
      </c>
      <c r="G14" s="18">
        <f>'Borc'!G8*Borc!$D$11</f>
        <v/>
      </c>
      <c r="H14" s="18">
        <f>'Borc'!H8*Borc!$D$11</f>
        <v/>
      </c>
      <c r="I14" s="18">
        <f>'Borc'!I8*Borc!$D$11</f>
        <v/>
      </c>
      <c r="J14" s="18">
        <f>'Borc'!J8*Borc!$D$11</f>
        <v/>
      </c>
      <c r="K14" s="18">
        <f>'Borc'!K8*Borc!$D$11</f>
        <v/>
      </c>
      <c r="L14" s="18">
        <f>'Borc'!L8*Borc!$D$11</f>
        <v/>
      </c>
      <c r="M14" s="18">
        <f>'Borc'!M8*Borc!$D$11</f>
        <v/>
      </c>
      <c r="N14" s="18">
        <f>'Borc'!N8*Borc!$D$11</f>
        <v/>
      </c>
      <c r="O14" s="18">
        <f>'Borc'!O8*Borc!$D$11</f>
        <v/>
      </c>
      <c r="P14" s="18">
        <f>'Borc'!P8*Borc!$D$11</f>
        <v/>
      </c>
      <c r="Q14" s="18">
        <f>'Borc'!Q8*Borc!$D$11</f>
        <v/>
      </c>
      <c r="R14" s="18">
        <f>'Borc'!R8*Borc!$D$11</f>
        <v/>
      </c>
      <c r="S14" s="18">
        <f>'Borc'!S8*Borc!$D$11</f>
        <v/>
      </c>
      <c r="T14" s="18">
        <f>'Borc'!T8*Borc!$D$11</f>
        <v/>
      </c>
      <c r="U14" s="18">
        <f>'Borc'!U8*Borc!$D$11</f>
        <v/>
      </c>
      <c r="V14" s="18">
        <f>'Borc'!V8*Borc!$D$11</f>
        <v/>
      </c>
      <c r="W14" s="18">
        <f>'Borc'!W8*Borc!$D$11</f>
        <v/>
      </c>
      <c r="X14" s="18">
        <f>'Borc'!X8*Borc!$D$11</f>
        <v/>
      </c>
      <c r="Y14" s="18">
        <f>'Borc'!Y8*Borc!$D$11</f>
        <v/>
      </c>
      <c r="Z14" s="18">
        <f>'Borc'!Z8*Borc!$D$11</f>
        <v/>
      </c>
      <c r="AA14" s="18">
        <f>'Borc'!AA8*Borc!$D$11</f>
        <v/>
      </c>
      <c r="AB14" s="18">
        <f>'Borc'!AB8*Borc!$D$11</f>
        <v/>
      </c>
      <c r="AC14" s="18">
        <f>'Borc'!AC8*Borc!$D$11</f>
        <v/>
      </c>
      <c r="AD14" s="18">
        <f>'Borc'!AD8*Borc!$D$11</f>
        <v/>
      </c>
      <c r="AE14" s="18">
        <f>'Borc'!AE8*Borc!$D$11</f>
        <v/>
      </c>
      <c r="AF14" s="18">
        <f>'Borc'!AF8*Borc!$D$11</f>
        <v/>
      </c>
      <c r="AG14" s="18">
        <f>'Borc'!AG8*Borc!$D$11</f>
        <v/>
      </c>
      <c r="AH14" s="18">
        <f>'Borc'!AH8*Borc!$D$11</f>
        <v/>
      </c>
      <c r="AI14" s="18">
        <f>'Borc'!AI8*Borc!$D$11</f>
        <v/>
      </c>
      <c r="AJ14" s="18">
        <f>'Borc'!AJ8*Borc!$D$11</f>
        <v/>
      </c>
      <c r="AK14" s="18">
        <f>'Borc'!AK8*Borc!$D$11</f>
        <v/>
      </c>
      <c r="AL14" s="18">
        <f>'Borc'!AL8*Borc!$D$11</f>
        <v/>
      </c>
      <c r="AM14" s="18">
        <f>'Borc'!AM8*Borc!$D$11</f>
        <v/>
      </c>
      <c r="AN14" s="18">
        <f>'Borc'!AN8*Borc!$D$11</f>
        <v/>
      </c>
      <c r="AO14" s="18">
        <f>'Borc'!AO8*Borc!$D$11</f>
        <v/>
      </c>
      <c r="AP14" s="18">
        <f>'Borc'!AP8*Borc!$D$11</f>
        <v/>
      </c>
      <c r="AQ14" s="18">
        <f>'Borc'!AQ8*Borc!$D$11</f>
        <v/>
      </c>
      <c r="AR14" s="18">
        <f>'Borc'!AR8*Borc!$D$11</f>
        <v/>
      </c>
    </row>
    <row r="15">
      <c r="A15" t="inlineStr">
        <is>
          <t>Açılış bakiyesi</t>
        </is>
      </c>
      <c r="B15" t="inlineStr">
        <is>
          <t>USD</t>
        </is>
      </c>
      <c r="C15" t="inlineStr"/>
      <c r="E15" s="18" t="n">
        <v>0</v>
      </c>
      <c r="F15" s="18">
        <f>IF('Zaman'!F9=1,Borc!$D$12,0)</f>
        <v/>
      </c>
      <c r="G15" s="18">
        <f>IF('Zaman'!G9=1,Borc!$D$12,IF('Zaman'!G9&gt;1,'Borc'!F17,0))</f>
        <v/>
      </c>
      <c r="H15" s="18">
        <f>IF('Zaman'!H9=1,Borc!$D$12,IF('Zaman'!H9&gt;1,'Borc'!G17,0))</f>
        <v/>
      </c>
      <c r="I15" s="18">
        <f>IF('Zaman'!I9=1,Borc!$D$12,IF('Zaman'!I9&gt;1,'Borc'!H17,0))</f>
        <v/>
      </c>
      <c r="J15" s="18">
        <f>IF('Zaman'!J9=1,Borc!$D$12,IF('Zaman'!J9&gt;1,'Borc'!I17,0))</f>
        <v/>
      </c>
      <c r="K15" s="18">
        <f>IF('Zaman'!K9=1,Borc!$D$12,IF('Zaman'!K9&gt;1,'Borc'!J17,0))</f>
        <v/>
      </c>
      <c r="L15" s="18">
        <f>IF('Zaman'!L9=1,Borc!$D$12,IF('Zaman'!L9&gt;1,'Borc'!K17,0))</f>
        <v/>
      </c>
      <c r="M15" s="18">
        <f>IF('Zaman'!M9=1,Borc!$D$12,IF('Zaman'!M9&gt;1,'Borc'!L17,0))</f>
        <v/>
      </c>
      <c r="N15" s="18">
        <f>IF('Zaman'!N9=1,Borc!$D$12,IF('Zaman'!N9&gt;1,'Borc'!M17,0))</f>
        <v/>
      </c>
      <c r="O15" s="18">
        <f>IF('Zaman'!O9=1,Borc!$D$12,IF('Zaman'!O9&gt;1,'Borc'!N17,0))</f>
        <v/>
      </c>
      <c r="P15" s="18">
        <f>IF('Zaman'!P9=1,Borc!$D$12,IF('Zaman'!P9&gt;1,'Borc'!O17,0))</f>
        <v/>
      </c>
      <c r="Q15" s="18">
        <f>IF('Zaman'!Q9=1,Borc!$D$12,IF('Zaman'!Q9&gt;1,'Borc'!P17,0))</f>
        <v/>
      </c>
      <c r="R15" s="18">
        <f>IF('Zaman'!R9=1,Borc!$D$12,IF('Zaman'!R9&gt;1,'Borc'!Q17,0))</f>
        <v/>
      </c>
      <c r="S15" s="18">
        <f>IF('Zaman'!S9=1,Borc!$D$12,IF('Zaman'!S9&gt;1,'Borc'!R17,0))</f>
        <v/>
      </c>
      <c r="T15" s="18">
        <f>IF('Zaman'!T9=1,Borc!$D$12,IF('Zaman'!T9&gt;1,'Borc'!S17,0))</f>
        <v/>
      </c>
      <c r="U15" s="18">
        <f>IF('Zaman'!U9=1,Borc!$D$12,IF('Zaman'!U9&gt;1,'Borc'!T17,0))</f>
        <v/>
      </c>
      <c r="V15" s="18">
        <f>IF('Zaman'!V9=1,Borc!$D$12,IF('Zaman'!V9&gt;1,'Borc'!U17,0))</f>
        <v/>
      </c>
      <c r="W15" s="18">
        <f>IF('Zaman'!W9=1,Borc!$D$12,IF('Zaman'!W9&gt;1,'Borc'!V17,0))</f>
        <v/>
      </c>
      <c r="X15" s="18">
        <f>IF('Zaman'!X9=1,Borc!$D$12,IF('Zaman'!X9&gt;1,'Borc'!W17,0))</f>
        <v/>
      </c>
      <c r="Y15" s="18">
        <f>IF('Zaman'!Y9=1,Borc!$D$12,IF('Zaman'!Y9&gt;1,'Borc'!X17,0))</f>
        <v/>
      </c>
      <c r="Z15" s="18">
        <f>IF('Zaman'!Z9=1,Borc!$D$12,IF('Zaman'!Z9&gt;1,'Borc'!Y17,0))</f>
        <v/>
      </c>
      <c r="AA15" s="18">
        <f>IF('Zaman'!AA9=1,Borc!$D$12,IF('Zaman'!AA9&gt;1,'Borc'!Z17,0))</f>
        <v/>
      </c>
      <c r="AB15" s="18">
        <f>IF('Zaman'!AB9=1,Borc!$D$12,IF('Zaman'!AB9&gt;1,'Borc'!AA17,0))</f>
        <v/>
      </c>
      <c r="AC15" s="18">
        <f>IF('Zaman'!AC9=1,Borc!$D$12,IF('Zaman'!AC9&gt;1,'Borc'!AB17,0))</f>
        <v/>
      </c>
      <c r="AD15" s="18">
        <f>IF('Zaman'!AD9=1,Borc!$D$12,IF('Zaman'!AD9&gt;1,'Borc'!AC17,0))</f>
        <v/>
      </c>
      <c r="AE15" s="18">
        <f>IF('Zaman'!AE9=1,Borc!$D$12,IF('Zaman'!AE9&gt;1,'Borc'!AD17,0))</f>
        <v/>
      </c>
      <c r="AF15" s="18">
        <f>IF('Zaman'!AF9=1,Borc!$D$12,IF('Zaman'!AF9&gt;1,'Borc'!AE17,0))</f>
        <v/>
      </c>
      <c r="AG15" s="18">
        <f>IF('Zaman'!AG9=1,Borc!$D$12,IF('Zaman'!AG9&gt;1,'Borc'!AF17,0))</f>
        <v/>
      </c>
      <c r="AH15" s="18">
        <f>IF('Zaman'!AH9=1,Borc!$D$12,IF('Zaman'!AH9&gt;1,'Borc'!AG17,0))</f>
        <v/>
      </c>
      <c r="AI15" s="18">
        <f>IF('Zaman'!AI9=1,Borc!$D$12,IF('Zaman'!AI9&gt;1,'Borc'!AH17,0))</f>
        <v/>
      </c>
      <c r="AJ15" s="18">
        <f>IF('Zaman'!AJ9=1,Borc!$D$12,IF('Zaman'!AJ9&gt;1,'Borc'!AI17,0))</f>
        <v/>
      </c>
      <c r="AK15" s="18">
        <f>IF('Zaman'!AK9=1,Borc!$D$12,IF('Zaman'!AK9&gt;1,'Borc'!AJ17,0))</f>
        <v/>
      </c>
      <c r="AL15" s="18">
        <f>IF('Zaman'!AL9=1,Borc!$D$12,IF('Zaman'!AL9&gt;1,'Borc'!AK17,0))</f>
        <v/>
      </c>
      <c r="AM15" s="18">
        <f>IF('Zaman'!AM9=1,Borc!$D$12,IF('Zaman'!AM9&gt;1,'Borc'!AL17,0))</f>
        <v/>
      </c>
      <c r="AN15" s="18">
        <f>IF('Zaman'!AN9=1,Borc!$D$12,IF('Zaman'!AN9&gt;1,'Borc'!AM17,0))</f>
        <v/>
      </c>
      <c r="AO15" s="18">
        <f>IF('Zaman'!AO9=1,Borc!$D$12,IF('Zaman'!AO9&gt;1,'Borc'!AN17,0))</f>
        <v/>
      </c>
      <c r="AP15" s="18">
        <f>IF('Zaman'!AP9=1,Borc!$D$12,IF('Zaman'!AP9&gt;1,'Borc'!AO17,0))</f>
        <v/>
      </c>
      <c r="AQ15" s="18">
        <f>IF('Zaman'!AQ9=1,Borc!$D$12,IF('Zaman'!AQ9&gt;1,'Borc'!AP17,0))</f>
        <v/>
      </c>
      <c r="AR15" s="18">
        <f>IF('Zaman'!AR9=1,Borc!$D$12,IF('Zaman'!AR9&gt;1,'Borc'!AQ17,0))</f>
        <v/>
      </c>
    </row>
    <row r="16">
      <c r="A16" t="inlineStr">
        <is>
          <t>Faiz</t>
        </is>
      </c>
      <c r="B16" t="inlineStr">
        <is>
          <t>USD</t>
        </is>
      </c>
      <c r="C16" t="inlineStr"/>
      <c r="D16" s="18">
        <f>SUM(F16:AR16)</f>
        <v/>
      </c>
      <c r="E16" s="18" t="n">
        <v>0</v>
      </c>
      <c r="F16" s="18">
        <f>'Borc'!F15*Girdiler!$C$80</f>
        <v/>
      </c>
      <c r="G16" s="18">
        <f>'Borc'!G15*Girdiler!$C$80</f>
        <v/>
      </c>
      <c r="H16" s="18">
        <f>'Borc'!H15*Girdiler!$C$80</f>
        <v/>
      </c>
      <c r="I16" s="18">
        <f>'Borc'!I15*Girdiler!$C$80</f>
        <v/>
      </c>
      <c r="J16" s="18">
        <f>'Borc'!J15*Girdiler!$C$80</f>
        <v/>
      </c>
      <c r="K16" s="18">
        <f>'Borc'!K15*Girdiler!$C$80</f>
        <v/>
      </c>
      <c r="L16" s="18">
        <f>'Borc'!L15*Girdiler!$C$80</f>
        <v/>
      </c>
      <c r="M16" s="18">
        <f>'Borc'!M15*Girdiler!$C$80</f>
        <v/>
      </c>
      <c r="N16" s="18">
        <f>'Borc'!N15*Girdiler!$C$80</f>
        <v/>
      </c>
      <c r="O16" s="18">
        <f>'Borc'!O15*Girdiler!$C$80</f>
        <v/>
      </c>
      <c r="P16" s="18">
        <f>'Borc'!P15*Girdiler!$C$80</f>
        <v/>
      </c>
      <c r="Q16" s="18">
        <f>'Borc'!Q15*Girdiler!$C$80</f>
        <v/>
      </c>
      <c r="R16" s="18">
        <f>'Borc'!R15*Girdiler!$C$80</f>
        <v/>
      </c>
      <c r="S16" s="18">
        <f>'Borc'!S15*Girdiler!$C$80</f>
        <v/>
      </c>
      <c r="T16" s="18">
        <f>'Borc'!T15*Girdiler!$C$80</f>
        <v/>
      </c>
      <c r="U16" s="18">
        <f>'Borc'!U15*Girdiler!$C$80</f>
        <v/>
      </c>
      <c r="V16" s="18">
        <f>'Borc'!V15*Girdiler!$C$80</f>
        <v/>
      </c>
      <c r="W16" s="18">
        <f>'Borc'!W15*Girdiler!$C$80</f>
        <v/>
      </c>
      <c r="X16" s="18">
        <f>'Borc'!X15*Girdiler!$C$80</f>
        <v/>
      </c>
      <c r="Y16" s="18">
        <f>'Borc'!Y15*Girdiler!$C$80</f>
        <v/>
      </c>
      <c r="Z16" s="18">
        <f>'Borc'!Z15*Girdiler!$C$80</f>
        <v/>
      </c>
      <c r="AA16" s="18">
        <f>'Borc'!AA15*Girdiler!$C$80</f>
        <v/>
      </c>
      <c r="AB16" s="18">
        <f>'Borc'!AB15*Girdiler!$C$80</f>
        <v/>
      </c>
      <c r="AC16" s="18">
        <f>'Borc'!AC15*Girdiler!$C$80</f>
        <v/>
      </c>
      <c r="AD16" s="18">
        <f>'Borc'!AD15*Girdiler!$C$80</f>
        <v/>
      </c>
      <c r="AE16" s="18">
        <f>'Borc'!AE15*Girdiler!$C$80</f>
        <v/>
      </c>
      <c r="AF16" s="18">
        <f>'Borc'!AF15*Girdiler!$C$80</f>
        <v/>
      </c>
      <c r="AG16" s="18">
        <f>'Borc'!AG15*Girdiler!$C$80</f>
        <v/>
      </c>
      <c r="AH16" s="18">
        <f>'Borc'!AH15*Girdiler!$C$80</f>
        <v/>
      </c>
      <c r="AI16" s="18">
        <f>'Borc'!AI15*Girdiler!$C$80</f>
        <v/>
      </c>
      <c r="AJ16" s="18">
        <f>'Borc'!AJ15*Girdiler!$C$80</f>
        <v/>
      </c>
      <c r="AK16" s="18">
        <f>'Borc'!AK15*Girdiler!$C$80</f>
        <v/>
      </c>
      <c r="AL16" s="18">
        <f>'Borc'!AL15*Girdiler!$C$80</f>
        <v/>
      </c>
      <c r="AM16" s="18">
        <f>'Borc'!AM15*Girdiler!$C$80</f>
        <v/>
      </c>
      <c r="AN16" s="18">
        <f>'Borc'!AN15*Girdiler!$C$80</f>
        <v/>
      </c>
      <c r="AO16" s="18">
        <f>'Borc'!AO15*Girdiler!$C$80</f>
        <v/>
      </c>
      <c r="AP16" s="18">
        <f>'Borc'!AP15*Girdiler!$C$80</f>
        <v/>
      </c>
      <c r="AQ16" s="18">
        <f>'Borc'!AQ15*Girdiler!$C$80</f>
        <v/>
      </c>
      <c r="AR16" s="18">
        <f>'Borc'!AR15*Girdiler!$C$80</f>
        <v/>
      </c>
    </row>
    <row r="17">
      <c r="A17" t="inlineStr">
        <is>
          <t>Kapanış bakiyesi</t>
        </is>
      </c>
      <c r="B17" t="inlineStr">
        <is>
          <t>USD</t>
        </is>
      </c>
      <c r="C17" t="inlineStr"/>
      <c r="E17" s="18" t="n">
        <v>0</v>
      </c>
      <c r="F17" s="18">
        <f>'Borc'!F15+'Borc'!F16-'Borc'!F14</f>
        <v/>
      </c>
      <c r="G17" s="18">
        <f>'Borc'!G15+'Borc'!G16-'Borc'!G14</f>
        <v/>
      </c>
      <c r="H17" s="18">
        <f>'Borc'!H15+'Borc'!H16-'Borc'!H14</f>
        <v/>
      </c>
      <c r="I17" s="18">
        <f>'Borc'!I15+'Borc'!I16-'Borc'!I14</f>
        <v/>
      </c>
      <c r="J17" s="18">
        <f>'Borc'!J15+'Borc'!J16-'Borc'!J14</f>
        <v/>
      </c>
      <c r="K17" s="18">
        <f>'Borc'!K15+'Borc'!K16-'Borc'!K14</f>
        <v/>
      </c>
      <c r="L17" s="18">
        <f>'Borc'!L15+'Borc'!L16-'Borc'!L14</f>
        <v/>
      </c>
      <c r="M17" s="18">
        <f>'Borc'!M15+'Borc'!M16-'Borc'!M14</f>
        <v/>
      </c>
      <c r="N17" s="18">
        <f>'Borc'!N15+'Borc'!N16-'Borc'!N14</f>
        <v/>
      </c>
      <c r="O17" s="18">
        <f>'Borc'!O15+'Borc'!O16-'Borc'!O14</f>
        <v/>
      </c>
      <c r="P17" s="18">
        <f>'Borc'!P15+'Borc'!P16-'Borc'!P14</f>
        <v/>
      </c>
      <c r="Q17" s="18">
        <f>'Borc'!Q15+'Borc'!Q16-'Borc'!Q14</f>
        <v/>
      </c>
      <c r="R17" s="18">
        <f>'Borc'!R15+'Borc'!R16-'Borc'!R14</f>
        <v/>
      </c>
      <c r="S17" s="18">
        <f>'Borc'!S15+'Borc'!S16-'Borc'!S14</f>
        <v/>
      </c>
      <c r="T17" s="18">
        <f>'Borc'!T15+'Borc'!T16-'Borc'!T14</f>
        <v/>
      </c>
      <c r="U17" s="18">
        <f>'Borc'!U15+'Borc'!U16-'Borc'!U14</f>
        <v/>
      </c>
      <c r="V17" s="18">
        <f>'Borc'!V15+'Borc'!V16-'Borc'!V14</f>
        <v/>
      </c>
      <c r="W17" s="18">
        <f>'Borc'!W15+'Borc'!W16-'Borc'!W14</f>
        <v/>
      </c>
      <c r="X17" s="18">
        <f>'Borc'!X15+'Borc'!X16-'Borc'!X14</f>
        <v/>
      </c>
      <c r="Y17" s="18">
        <f>'Borc'!Y15+'Borc'!Y16-'Borc'!Y14</f>
        <v/>
      </c>
      <c r="Z17" s="18">
        <f>'Borc'!Z15+'Borc'!Z16-'Borc'!Z14</f>
        <v/>
      </c>
      <c r="AA17" s="18">
        <f>'Borc'!AA15+'Borc'!AA16-'Borc'!AA14</f>
        <v/>
      </c>
      <c r="AB17" s="18">
        <f>'Borc'!AB15+'Borc'!AB16-'Borc'!AB14</f>
        <v/>
      </c>
      <c r="AC17" s="18">
        <f>'Borc'!AC15+'Borc'!AC16-'Borc'!AC14</f>
        <v/>
      </c>
      <c r="AD17" s="18">
        <f>'Borc'!AD15+'Borc'!AD16-'Borc'!AD14</f>
        <v/>
      </c>
      <c r="AE17" s="18">
        <f>'Borc'!AE15+'Borc'!AE16-'Borc'!AE14</f>
        <v/>
      </c>
      <c r="AF17" s="18">
        <f>'Borc'!AF15+'Borc'!AF16-'Borc'!AF14</f>
        <v/>
      </c>
      <c r="AG17" s="18">
        <f>'Borc'!AG15+'Borc'!AG16-'Borc'!AG14</f>
        <v/>
      </c>
      <c r="AH17" s="18">
        <f>'Borc'!AH15+'Borc'!AH16-'Borc'!AH14</f>
        <v/>
      </c>
      <c r="AI17" s="18">
        <f>'Borc'!AI15+'Borc'!AI16-'Borc'!AI14</f>
        <v/>
      </c>
      <c r="AJ17" s="18">
        <f>'Borc'!AJ15+'Borc'!AJ16-'Borc'!AJ14</f>
        <v/>
      </c>
      <c r="AK17" s="18">
        <f>'Borc'!AK15+'Borc'!AK16-'Borc'!AK14</f>
        <v/>
      </c>
      <c r="AL17" s="18">
        <f>'Borc'!AL15+'Borc'!AL16-'Borc'!AL14</f>
        <v/>
      </c>
      <c r="AM17" s="18">
        <f>'Borc'!AM15+'Borc'!AM16-'Borc'!AM14</f>
        <v/>
      </c>
      <c r="AN17" s="18">
        <f>'Borc'!AN15+'Borc'!AN16-'Borc'!AN14</f>
        <v/>
      </c>
      <c r="AO17" s="18">
        <f>'Borc'!AO15+'Borc'!AO16-'Borc'!AO14</f>
        <v/>
      </c>
      <c r="AP17" s="18">
        <f>'Borc'!AP15+'Borc'!AP16-'Borc'!AP14</f>
        <v/>
      </c>
      <c r="AQ17" s="18">
        <f>'Borc'!AQ15+'Borc'!AQ16-'Borc'!AQ14</f>
        <v/>
      </c>
      <c r="AR17" s="18">
        <f>'Borc'!AR15+'Borc'!AR16-'Borc'!AR14</f>
        <v/>
      </c>
    </row>
    <row r="18">
      <c r="A18" t="inlineStr">
        <is>
          <t>DSCR</t>
        </is>
      </c>
      <c r="B18" t="inlineStr">
        <is>
          <t>kat</t>
        </is>
      </c>
      <c r="C18" t="inlineStr"/>
      <c r="E18" s="24" t="n">
        <v>0</v>
      </c>
      <c r="F18" s="24">
        <f>IF('Borc'!F14&gt;0,Vergi!F45*'Zaman'!F11/'Borc'!F14,"")</f>
        <v/>
      </c>
      <c r="G18" s="24">
        <f>IF('Borc'!G14&gt;0,Vergi!G45*'Zaman'!G11/'Borc'!G14,"")</f>
        <v/>
      </c>
      <c r="H18" s="24">
        <f>IF('Borc'!H14&gt;0,Vergi!H45*'Zaman'!H11/'Borc'!H14,"")</f>
        <v/>
      </c>
      <c r="I18" s="24">
        <f>IF('Borc'!I14&gt;0,Vergi!I45*'Zaman'!I11/'Borc'!I14,"")</f>
        <v/>
      </c>
      <c r="J18" s="24">
        <f>IF('Borc'!J14&gt;0,Vergi!J45*'Zaman'!J11/'Borc'!J14,"")</f>
        <v/>
      </c>
      <c r="K18" s="24">
        <f>IF('Borc'!K14&gt;0,Vergi!K45*'Zaman'!K11/'Borc'!K14,"")</f>
        <v/>
      </c>
      <c r="L18" s="24">
        <f>IF('Borc'!L14&gt;0,Vergi!L45*'Zaman'!L11/'Borc'!L14,"")</f>
        <v/>
      </c>
      <c r="M18" s="24">
        <f>IF('Borc'!M14&gt;0,Vergi!M45*'Zaman'!M11/'Borc'!M14,"")</f>
        <v/>
      </c>
      <c r="N18" s="24">
        <f>IF('Borc'!N14&gt;0,Vergi!N45*'Zaman'!N11/'Borc'!N14,"")</f>
        <v/>
      </c>
      <c r="O18" s="24">
        <f>IF('Borc'!O14&gt;0,Vergi!O45*'Zaman'!O11/'Borc'!O14,"")</f>
        <v/>
      </c>
      <c r="P18" s="24">
        <f>IF('Borc'!P14&gt;0,Vergi!P45*'Zaman'!P11/'Borc'!P14,"")</f>
        <v/>
      </c>
      <c r="Q18" s="24">
        <f>IF('Borc'!Q14&gt;0,Vergi!Q45*'Zaman'!Q11/'Borc'!Q14,"")</f>
        <v/>
      </c>
      <c r="R18" s="24">
        <f>IF('Borc'!R14&gt;0,Vergi!R45*'Zaman'!R11/'Borc'!R14,"")</f>
        <v/>
      </c>
      <c r="S18" s="24">
        <f>IF('Borc'!S14&gt;0,Vergi!S45*'Zaman'!S11/'Borc'!S14,"")</f>
        <v/>
      </c>
      <c r="T18" s="24">
        <f>IF('Borc'!T14&gt;0,Vergi!T45*'Zaman'!T11/'Borc'!T14,"")</f>
        <v/>
      </c>
      <c r="U18" s="24">
        <f>IF('Borc'!U14&gt;0,Vergi!U45*'Zaman'!U11/'Borc'!U14,"")</f>
        <v/>
      </c>
      <c r="V18" s="24">
        <f>IF('Borc'!V14&gt;0,Vergi!V45*'Zaman'!V11/'Borc'!V14,"")</f>
        <v/>
      </c>
      <c r="W18" s="24">
        <f>IF('Borc'!W14&gt;0,Vergi!W45*'Zaman'!W11/'Borc'!W14,"")</f>
        <v/>
      </c>
      <c r="X18" s="24">
        <f>IF('Borc'!X14&gt;0,Vergi!X45*'Zaman'!X11/'Borc'!X14,"")</f>
        <v/>
      </c>
      <c r="Y18" s="24">
        <f>IF('Borc'!Y14&gt;0,Vergi!Y45*'Zaman'!Y11/'Borc'!Y14,"")</f>
        <v/>
      </c>
      <c r="Z18" s="24">
        <f>IF('Borc'!Z14&gt;0,Vergi!Z45*'Zaman'!Z11/'Borc'!Z14,"")</f>
        <v/>
      </c>
      <c r="AA18" s="24">
        <f>IF('Borc'!AA14&gt;0,Vergi!AA45*'Zaman'!AA11/'Borc'!AA14,"")</f>
        <v/>
      </c>
      <c r="AB18" s="24">
        <f>IF('Borc'!AB14&gt;0,Vergi!AB45*'Zaman'!AB11/'Borc'!AB14,"")</f>
        <v/>
      </c>
      <c r="AC18" s="24">
        <f>IF('Borc'!AC14&gt;0,Vergi!AC45*'Zaman'!AC11/'Borc'!AC14,"")</f>
        <v/>
      </c>
      <c r="AD18" s="24">
        <f>IF('Borc'!AD14&gt;0,Vergi!AD45*'Zaman'!AD11/'Borc'!AD14,"")</f>
        <v/>
      </c>
      <c r="AE18" s="24">
        <f>IF('Borc'!AE14&gt;0,Vergi!AE45*'Zaman'!AE11/'Borc'!AE14,"")</f>
        <v/>
      </c>
      <c r="AF18" s="24">
        <f>IF('Borc'!AF14&gt;0,Vergi!AF45*'Zaman'!AF11/'Borc'!AF14,"")</f>
        <v/>
      </c>
      <c r="AG18" s="24">
        <f>IF('Borc'!AG14&gt;0,Vergi!AG45*'Zaman'!AG11/'Borc'!AG14,"")</f>
        <v/>
      </c>
      <c r="AH18" s="24">
        <f>IF('Borc'!AH14&gt;0,Vergi!AH45*'Zaman'!AH11/'Borc'!AH14,"")</f>
        <v/>
      </c>
      <c r="AI18" s="24">
        <f>IF('Borc'!AI14&gt;0,Vergi!AI45*'Zaman'!AI11/'Borc'!AI14,"")</f>
        <v/>
      </c>
      <c r="AJ18" s="24">
        <f>IF('Borc'!AJ14&gt;0,Vergi!AJ45*'Zaman'!AJ11/'Borc'!AJ14,"")</f>
        <v/>
      </c>
      <c r="AK18" s="24">
        <f>IF('Borc'!AK14&gt;0,Vergi!AK45*'Zaman'!AK11/'Borc'!AK14,"")</f>
        <v/>
      </c>
      <c r="AL18" s="24">
        <f>IF('Borc'!AL14&gt;0,Vergi!AL45*'Zaman'!AL11/'Borc'!AL14,"")</f>
        <v/>
      </c>
      <c r="AM18" s="24">
        <f>IF('Borc'!AM14&gt;0,Vergi!AM45*'Zaman'!AM11/'Borc'!AM14,"")</f>
        <v/>
      </c>
      <c r="AN18" s="24">
        <f>IF('Borc'!AN14&gt;0,Vergi!AN45*'Zaman'!AN11/'Borc'!AN14,"")</f>
        <v/>
      </c>
      <c r="AO18" s="24">
        <f>IF('Borc'!AO14&gt;0,Vergi!AO45*'Zaman'!AO11/'Borc'!AO14,"")</f>
        <v/>
      </c>
      <c r="AP18" s="24">
        <f>IF('Borc'!AP14&gt;0,Vergi!AP45*'Zaman'!AP11/'Borc'!AP14,"")</f>
        <v/>
      </c>
      <c r="AQ18" s="24">
        <f>IF('Borc'!AQ14&gt;0,Vergi!AQ45*'Zaman'!AQ11/'Borc'!AQ14,"")</f>
        <v/>
      </c>
      <c r="AR18" s="24">
        <f>IF('Borc'!AR14&gt;0,Vergi!AR45*'Zaman'!AR11/'Borc'!AR14,"")</f>
        <v/>
      </c>
    </row>
    <row r="19">
      <c r="A19" t="inlineStr">
        <is>
          <t>CFADS (nominal, vade içinde)</t>
        </is>
      </c>
      <c r="B19" t="inlineStr">
        <is>
          <t>USD</t>
        </is>
      </c>
      <c r="C19" t="inlineStr"/>
      <c r="D19" s="18">
        <f>SUM(F19:AR19)</f>
        <v/>
      </c>
      <c r="E19" s="18" t="n">
        <v>0</v>
      </c>
      <c r="F19" s="18">
        <f>IF(AND('Zaman'!F9&gt;=1,'Zaman'!F9&lt;=Girdiler!$C$92),Vergi!F45*'Zaman'!F11,0)</f>
        <v/>
      </c>
      <c r="G19" s="18">
        <f>IF(AND('Zaman'!G9&gt;=1,'Zaman'!G9&lt;=Girdiler!$C$92),Vergi!G45*'Zaman'!G11,0)</f>
        <v/>
      </c>
      <c r="H19" s="18">
        <f>IF(AND('Zaman'!H9&gt;=1,'Zaman'!H9&lt;=Girdiler!$C$92),Vergi!H45*'Zaman'!H11,0)</f>
        <v/>
      </c>
      <c r="I19" s="18">
        <f>IF(AND('Zaman'!I9&gt;=1,'Zaman'!I9&lt;=Girdiler!$C$92),Vergi!I45*'Zaman'!I11,0)</f>
        <v/>
      </c>
      <c r="J19" s="18">
        <f>IF(AND('Zaman'!J9&gt;=1,'Zaman'!J9&lt;=Girdiler!$C$92),Vergi!J45*'Zaman'!J11,0)</f>
        <v/>
      </c>
      <c r="K19" s="18">
        <f>IF(AND('Zaman'!K9&gt;=1,'Zaman'!K9&lt;=Girdiler!$C$92),Vergi!K45*'Zaman'!K11,0)</f>
        <v/>
      </c>
      <c r="L19" s="18">
        <f>IF(AND('Zaman'!L9&gt;=1,'Zaman'!L9&lt;=Girdiler!$C$92),Vergi!L45*'Zaman'!L11,0)</f>
        <v/>
      </c>
      <c r="M19" s="18">
        <f>IF(AND('Zaman'!M9&gt;=1,'Zaman'!M9&lt;=Girdiler!$C$92),Vergi!M45*'Zaman'!M11,0)</f>
        <v/>
      </c>
      <c r="N19" s="18">
        <f>IF(AND('Zaman'!N9&gt;=1,'Zaman'!N9&lt;=Girdiler!$C$92),Vergi!N45*'Zaman'!N11,0)</f>
        <v/>
      </c>
      <c r="O19" s="18">
        <f>IF(AND('Zaman'!O9&gt;=1,'Zaman'!O9&lt;=Girdiler!$C$92),Vergi!O45*'Zaman'!O11,0)</f>
        <v/>
      </c>
      <c r="P19" s="18">
        <f>IF(AND('Zaman'!P9&gt;=1,'Zaman'!P9&lt;=Girdiler!$C$92),Vergi!P45*'Zaman'!P11,0)</f>
        <v/>
      </c>
      <c r="Q19" s="18">
        <f>IF(AND('Zaman'!Q9&gt;=1,'Zaman'!Q9&lt;=Girdiler!$C$92),Vergi!Q45*'Zaman'!Q11,0)</f>
        <v/>
      </c>
      <c r="R19" s="18">
        <f>IF(AND('Zaman'!R9&gt;=1,'Zaman'!R9&lt;=Girdiler!$C$92),Vergi!R45*'Zaman'!R11,0)</f>
        <v/>
      </c>
      <c r="S19" s="18">
        <f>IF(AND('Zaman'!S9&gt;=1,'Zaman'!S9&lt;=Girdiler!$C$92),Vergi!S45*'Zaman'!S11,0)</f>
        <v/>
      </c>
      <c r="T19" s="18">
        <f>IF(AND('Zaman'!T9&gt;=1,'Zaman'!T9&lt;=Girdiler!$C$92),Vergi!T45*'Zaman'!T11,0)</f>
        <v/>
      </c>
      <c r="U19" s="18">
        <f>IF(AND('Zaman'!U9&gt;=1,'Zaman'!U9&lt;=Girdiler!$C$92),Vergi!U45*'Zaman'!U11,0)</f>
        <v/>
      </c>
      <c r="V19" s="18">
        <f>IF(AND('Zaman'!V9&gt;=1,'Zaman'!V9&lt;=Girdiler!$C$92),Vergi!V45*'Zaman'!V11,0)</f>
        <v/>
      </c>
      <c r="W19" s="18">
        <f>IF(AND('Zaman'!W9&gt;=1,'Zaman'!W9&lt;=Girdiler!$C$92),Vergi!W45*'Zaman'!W11,0)</f>
        <v/>
      </c>
      <c r="X19" s="18">
        <f>IF(AND('Zaman'!X9&gt;=1,'Zaman'!X9&lt;=Girdiler!$C$92),Vergi!X45*'Zaman'!X11,0)</f>
        <v/>
      </c>
      <c r="Y19" s="18">
        <f>IF(AND('Zaman'!Y9&gt;=1,'Zaman'!Y9&lt;=Girdiler!$C$92),Vergi!Y45*'Zaman'!Y11,0)</f>
        <v/>
      </c>
      <c r="Z19" s="18">
        <f>IF(AND('Zaman'!Z9&gt;=1,'Zaman'!Z9&lt;=Girdiler!$C$92),Vergi!Z45*'Zaman'!Z11,0)</f>
        <v/>
      </c>
      <c r="AA19" s="18">
        <f>IF(AND('Zaman'!AA9&gt;=1,'Zaman'!AA9&lt;=Girdiler!$C$92),Vergi!AA45*'Zaman'!AA11,0)</f>
        <v/>
      </c>
      <c r="AB19" s="18">
        <f>IF(AND('Zaman'!AB9&gt;=1,'Zaman'!AB9&lt;=Girdiler!$C$92),Vergi!AB45*'Zaman'!AB11,0)</f>
        <v/>
      </c>
      <c r="AC19" s="18">
        <f>IF(AND('Zaman'!AC9&gt;=1,'Zaman'!AC9&lt;=Girdiler!$C$92),Vergi!AC45*'Zaman'!AC11,0)</f>
        <v/>
      </c>
      <c r="AD19" s="18">
        <f>IF(AND('Zaman'!AD9&gt;=1,'Zaman'!AD9&lt;=Girdiler!$C$92),Vergi!AD45*'Zaman'!AD11,0)</f>
        <v/>
      </c>
      <c r="AE19" s="18">
        <f>IF(AND('Zaman'!AE9&gt;=1,'Zaman'!AE9&lt;=Girdiler!$C$92),Vergi!AE45*'Zaman'!AE11,0)</f>
        <v/>
      </c>
      <c r="AF19" s="18">
        <f>IF(AND('Zaman'!AF9&gt;=1,'Zaman'!AF9&lt;=Girdiler!$C$92),Vergi!AF45*'Zaman'!AF11,0)</f>
        <v/>
      </c>
      <c r="AG19" s="18">
        <f>IF(AND('Zaman'!AG9&gt;=1,'Zaman'!AG9&lt;=Girdiler!$C$92),Vergi!AG45*'Zaman'!AG11,0)</f>
        <v/>
      </c>
      <c r="AH19" s="18">
        <f>IF(AND('Zaman'!AH9&gt;=1,'Zaman'!AH9&lt;=Girdiler!$C$92),Vergi!AH45*'Zaman'!AH11,0)</f>
        <v/>
      </c>
      <c r="AI19" s="18">
        <f>IF(AND('Zaman'!AI9&gt;=1,'Zaman'!AI9&lt;=Girdiler!$C$92),Vergi!AI45*'Zaman'!AI11,0)</f>
        <v/>
      </c>
      <c r="AJ19" s="18">
        <f>IF(AND('Zaman'!AJ9&gt;=1,'Zaman'!AJ9&lt;=Girdiler!$C$92),Vergi!AJ45*'Zaman'!AJ11,0)</f>
        <v/>
      </c>
      <c r="AK19" s="18">
        <f>IF(AND('Zaman'!AK9&gt;=1,'Zaman'!AK9&lt;=Girdiler!$C$92),Vergi!AK45*'Zaman'!AK11,0)</f>
        <v/>
      </c>
      <c r="AL19" s="18">
        <f>IF(AND('Zaman'!AL9&gt;=1,'Zaman'!AL9&lt;=Girdiler!$C$92),Vergi!AL45*'Zaman'!AL11,0)</f>
        <v/>
      </c>
      <c r="AM19" s="18">
        <f>IF(AND('Zaman'!AM9&gt;=1,'Zaman'!AM9&lt;=Girdiler!$C$92),Vergi!AM45*'Zaman'!AM11,0)</f>
        <v/>
      </c>
      <c r="AN19" s="18">
        <f>IF(AND('Zaman'!AN9&gt;=1,'Zaman'!AN9&lt;=Girdiler!$C$92),Vergi!AN45*'Zaman'!AN11,0)</f>
        <v/>
      </c>
      <c r="AO19" s="18">
        <f>IF(AND('Zaman'!AO9&gt;=1,'Zaman'!AO9&lt;=Girdiler!$C$92),Vergi!AO45*'Zaman'!AO11,0)</f>
        <v/>
      </c>
      <c r="AP19" s="18">
        <f>IF(AND('Zaman'!AP9&gt;=1,'Zaman'!AP9&lt;=Girdiler!$C$92),Vergi!AP45*'Zaman'!AP11,0)</f>
        <v/>
      </c>
      <c r="AQ19" s="18">
        <f>IF(AND('Zaman'!AQ9&gt;=1,'Zaman'!AQ9&lt;=Girdiler!$C$92),Vergi!AQ45*'Zaman'!AQ11,0)</f>
        <v/>
      </c>
      <c r="AR19" s="18">
        <f>IF(AND('Zaman'!AR9&gt;=1,'Zaman'!AR9&lt;=Girdiler!$C$92),Vergi!AR45*'Zaman'!AR11,0)</f>
        <v/>
      </c>
    </row>
    <row r="20">
      <c r="A20" t="inlineStr">
        <is>
          <t>Kalan CFADS'nin bugünkü değeri (faizle)</t>
        </is>
      </c>
      <c r="B20" t="inlineStr">
        <is>
          <t>USD</t>
        </is>
      </c>
      <c r="C20" t="inlineStr"/>
      <c r="E20" s="18" t="n">
        <v>0</v>
      </c>
      <c r="F20" s="18">
        <f>IF('Borc'!F19&lt;&gt;0,('Borc'!F19+'Borc'!G20)/(1+Girdiler!$C$80),0)</f>
        <v/>
      </c>
      <c r="G20" s="18">
        <f>IF('Borc'!G19&lt;&gt;0,('Borc'!G19+'Borc'!H20)/(1+Girdiler!$C$80),0)</f>
        <v/>
      </c>
      <c r="H20" s="18">
        <f>IF('Borc'!H19&lt;&gt;0,('Borc'!H19+'Borc'!I20)/(1+Girdiler!$C$80),0)</f>
        <v/>
      </c>
      <c r="I20" s="18">
        <f>IF('Borc'!I19&lt;&gt;0,('Borc'!I19+'Borc'!J20)/(1+Girdiler!$C$80),0)</f>
        <v/>
      </c>
      <c r="J20" s="18">
        <f>IF('Borc'!J19&lt;&gt;0,('Borc'!J19+'Borc'!K20)/(1+Girdiler!$C$80),0)</f>
        <v/>
      </c>
      <c r="K20" s="18">
        <f>IF('Borc'!K19&lt;&gt;0,('Borc'!K19+'Borc'!L20)/(1+Girdiler!$C$80),0)</f>
        <v/>
      </c>
      <c r="L20" s="18">
        <f>IF('Borc'!L19&lt;&gt;0,('Borc'!L19+'Borc'!M20)/(1+Girdiler!$C$80),0)</f>
        <v/>
      </c>
      <c r="M20" s="18">
        <f>IF('Borc'!M19&lt;&gt;0,('Borc'!M19+'Borc'!N20)/(1+Girdiler!$C$80),0)</f>
        <v/>
      </c>
      <c r="N20" s="18">
        <f>IF('Borc'!N19&lt;&gt;0,('Borc'!N19+'Borc'!O20)/(1+Girdiler!$C$80),0)</f>
        <v/>
      </c>
      <c r="O20" s="18">
        <f>IF('Borc'!O19&lt;&gt;0,('Borc'!O19+'Borc'!P20)/(1+Girdiler!$C$80),0)</f>
        <v/>
      </c>
      <c r="P20" s="18">
        <f>IF('Borc'!P19&lt;&gt;0,('Borc'!P19+'Borc'!Q20)/(1+Girdiler!$C$80),0)</f>
        <v/>
      </c>
      <c r="Q20" s="18">
        <f>IF('Borc'!Q19&lt;&gt;0,('Borc'!Q19+'Borc'!R20)/(1+Girdiler!$C$80),0)</f>
        <v/>
      </c>
      <c r="R20" s="18">
        <f>IF('Borc'!R19&lt;&gt;0,('Borc'!R19+'Borc'!S20)/(1+Girdiler!$C$80),0)</f>
        <v/>
      </c>
      <c r="S20" s="18">
        <f>IF('Borc'!S19&lt;&gt;0,('Borc'!S19+'Borc'!T20)/(1+Girdiler!$C$80),0)</f>
        <v/>
      </c>
      <c r="T20" s="18">
        <f>IF('Borc'!T19&lt;&gt;0,('Borc'!T19+'Borc'!U20)/(1+Girdiler!$C$80),0)</f>
        <v/>
      </c>
      <c r="U20" s="18">
        <f>IF('Borc'!U19&lt;&gt;0,('Borc'!U19+'Borc'!V20)/(1+Girdiler!$C$80),0)</f>
        <v/>
      </c>
      <c r="V20" s="18">
        <f>IF('Borc'!V19&lt;&gt;0,('Borc'!V19+'Borc'!W20)/(1+Girdiler!$C$80),0)</f>
        <v/>
      </c>
      <c r="W20" s="18">
        <f>IF('Borc'!W19&lt;&gt;0,('Borc'!W19+'Borc'!X20)/(1+Girdiler!$C$80),0)</f>
        <v/>
      </c>
      <c r="X20" s="18">
        <f>IF('Borc'!X19&lt;&gt;0,('Borc'!X19+'Borc'!Y20)/(1+Girdiler!$C$80),0)</f>
        <v/>
      </c>
      <c r="Y20" s="18">
        <f>IF('Borc'!Y19&lt;&gt;0,('Borc'!Y19+'Borc'!Z20)/(1+Girdiler!$C$80),0)</f>
        <v/>
      </c>
      <c r="Z20" s="18">
        <f>IF('Borc'!Z19&lt;&gt;0,('Borc'!Z19+'Borc'!AA20)/(1+Girdiler!$C$80),0)</f>
        <v/>
      </c>
      <c r="AA20" s="18">
        <f>IF('Borc'!AA19&lt;&gt;0,('Borc'!AA19+'Borc'!AB20)/(1+Girdiler!$C$80),0)</f>
        <v/>
      </c>
      <c r="AB20" s="18">
        <f>IF('Borc'!AB19&lt;&gt;0,('Borc'!AB19+'Borc'!AC20)/(1+Girdiler!$C$80),0)</f>
        <v/>
      </c>
      <c r="AC20" s="18">
        <f>IF('Borc'!AC19&lt;&gt;0,('Borc'!AC19+'Borc'!AD20)/(1+Girdiler!$C$80),0)</f>
        <v/>
      </c>
      <c r="AD20" s="18">
        <f>IF('Borc'!AD19&lt;&gt;0,('Borc'!AD19+'Borc'!AE20)/(1+Girdiler!$C$80),0)</f>
        <v/>
      </c>
      <c r="AE20" s="18">
        <f>IF('Borc'!AE19&lt;&gt;0,('Borc'!AE19+'Borc'!AF20)/(1+Girdiler!$C$80),0)</f>
        <v/>
      </c>
      <c r="AF20" s="18">
        <f>IF('Borc'!AF19&lt;&gt;0,('Borc'!AF19+'Borc'!AG20)/(1+Girdiler!$C$80),0)</f>
        <v/>
      </c>
      <c r="AG20" s="18">
        <f>IF('Borc'!AG19&lt;&gt;0,('Borc'!AG19+'Borc'!AH20)/(1+Girdiler!$C$80),0)</f>
        <v/>
      </c>
      <c r="AH20" s="18">
        <f>IF('Borc'!AH19&lt;&gt;0,('Borc'!AH19+'Borc'!AI20)/(1+Girdiler!$C$80),0)</f>
        <v/>
      </c>
      <c r="AI20" s="18">
        <f>IF('Borc'!AI19&lt;&gt;0,('Borc'!AI19+'Borc'!AJ20)/(1+Girdiler!$C$80),0)</f>
        <v/>
      </c>
      <c r="AJ20" s="18">
        <f>IF('Borc'!AJ19&lt;&gt;0,('Borc'!AJ19+'Borc'!AK20)/(1+Girdiler!$C$80),0)</f>
        <v/>
      </c>
      <c r="AK20" s="18">
        <f>IF('Borc'!AK19&lt;&gt;0,('Borc'!AK19+'Borc'!AL20)/(1+Girdiler!$C$80),0)</f>
        <v/>
      </c>
      <c r="AL20" s="18">
        <f>IF('Borc'!AL19&lt;&gt;0,('Borc'!AL19+'Borc'!AM20)/(1+Girdiler!$C$80),0)</f>
        <v/>
      </c>
      <c r="AM20" s="18">
        <f>IF('Borc'!AM19&lt;&gt;0,('Borc'!AM19+'Borc'!AN20)/(1+Girdiler!$C$80),0)</f>
        <v/>
      </c>
      <c r="AN20" s="18">
        <f>IF('Borc'!AN19&lt;&gt;0,('Borc'!AN19+'Borc'!AO20)/(1+Girdiler!$C$80),0)</f>
        <v/>
      </c>
      <c r="AO20" s="18">
        <f>IF('Borc'!AO19&lt;&gt;0,('Borc'!AO19+'Borc'!AP20)/(1+Girdiler!$C$80),0)</f>
        <v/>
      </c>
      <c r="AP20" s="18">
        <f>IF('Borc'!AP19&lt;&gt;0,('Borc'!AP19+'Borc'!AQ20)/(1+Girdiler!$C$80),0)</f>
        <v/>
      </c>
      <c r="AQ20" s="18">
        <f>IF('Borc'!AQ19&lt;&gt;0,('Borc'!AQ19+'Borc'!AR20)/(1+Girdiler!$C$80),0)</f>
        <v/>
      </c>
      <c r="AR20" s="18">
        <f>IF('Borc'!AR19&lt;&gt;0,'Borc'!AR19/(1+Girdiler!$C$80),0)</f>
        <v/>
      </c>
    </row>
    <row r="21">
      <c r="A21" t="inlineStr">
        <is>
          <t>LLCR</t>
        </is>
      </c>
      <c r="B21" t="inlineStr">
        <is>
          <t>kat</t>
        </is>
      </c>
      <c r="C21" t="inlineStr"/>
      <c r="E21" s="24" t="n">
        <v>0</v>
      </c>
      <c r="F21" s="24">
        <f>IF('Borc'!F15&gt;1,'Borc'!F20/'Borc'!F15,"")</f>
        <v/>
      </c>
      <c r="G21" s="24">
        <f>IF('Borc'!G15&gt;1,'Borc'!G20/'Borc'!G15,"")</f>
        <v/>
      </c>
      <c r="H21" s="24">
        <f>IF('Borc'!H15&gt;1,'Borc'!H20/'Borc'!H15,"")</f>
        <v/>
      </c>
      <c r="I21" s="24">
        <f>IF('Borc'!I15&gt;1,'Borc'!I20/'Borc'!I15,"")</f>
        <v/>
      </c>
      <c r="J21" s="24">
        <f>IF('Borc'!J15&gt;1,'Borc'!J20/'Borc'!J15,"")</f>
        <v/>
      </c>
      <c r="K21" s="24">
        <f>IF('Borc'!K15&gt;1,'Borc'!K20/'Borc'!K15,"")</f>
        <v/>
      </c>
      <c r="L21" s="24">
        <f>IF('Borc'!L15&gt;1,'Borc'!L20/'Borc'!L15,"")</f>
        <v/>
      </c>
      <c r="M21" s="24">
        <f>IF('Borc'!M15&gt;1,'Borc'!M20/'Borc'!M15,"")</f>
        <v/>
      </c>
      <c r="N21" s="24">
        <f>IF('Borc'!N15&gt;1,'Borc'!N20/'Borc'!N15,"")</f>
        <v/>
      </c>
      <c r="O21" s="24">
        <f>IF('Borc'!O15&gt;1,'Borc'!O20/'Borc'!O15,"")</f>
        <v/>
      </c>
      <c r="P21" s="24">
        <f>IF('Borc'!P15&gt;1,'Borc'!P20/'Borc'!P15,"")</f>
        <v/>
      </c>
      <c r="Q21" s="24">
        <f>IF('Borc'!Q15&gt;1,'Borc'!Q20/'Borc'!Q15,"")</f>
        <v/>
      </c>
      <c r="R21" s="24">
        <f>IF('Borc'!R15&gt;1,'Borc'!R20/'Borc'!R15,"")</f>
        <v/>
      </c>
      <c r="S21" s="24">
        <f>IF('Borc'!S15&gt;1,'Borc'!S20/'Borc'!S15,"")</f>
        <v/>
      </c>
      <c r="T21" s="24">
        <f>IF('Borc'!T15&gt;1,'Borc'!T20/'Borc'!T15,"")</f>
        <v/>
      </c>
      <c r="U21" s="24">
        <f>IF('Borc'!U15&gt;1,'Borc'!U20/'Borc'!U15,"")</f>
        <v/>
      </c>
      <c r="V21" s="24">
        <f>IF('Borc'!V15&gt;1,'Borc'!V20/'Borc'!V15,"")</f>
        <v/>
      </c>
      <c r="W21" s="24">
        <f>IF('Borc'!W15&gt;1,'Borc'!W20/'Borc'!W15,"")</f>
        <v/>
      </c>
      <c r="X21" s="24">
        <f>IF('Borc'!X15&gt;1,'Borc'!X20/'Borc'!X15,"")</f>
        <v/>
      </c>
      <c r="Y21" s="24">
        <f>IF('Borc'!Y15&gt;1,'Borc'!Y20/'Borc'!Y15,"")</f>
        <v/>
      </c>
      <c r="Z21" s="24">
        <f>IF('Borc'!Z15&gt;1,'Borc'!Z20/'Borc'!Z15,"")</f>
        <v/>
      </c>
      <c r="AA21" s="24">
        <f>IF('Borc'!AA15&gt;1,'Borc'!AA20/'Borc'!AA15,"")</f>
        <v/>
      </c>
      <c r="AB21" s="24">
        <f>IF('Borc'!AB15&gt;1,'Borc'!AB20/'Borc'!AB15,"")</f>
        <v/>
      </c>
      <c r="AC21" s="24">
        <f>IF('Borc'!AC15&gt;1,'Borc'!AC20/'Borc'!AC15,"")</f>
        <v/>
      </c>
      <c r="AD21" s="24">
        <f>IF('Borc'!AD15&gt;1,'Borc'!AD20/'Borc'!AD15,"")</f>
        <v/>
      </c>
      <c r="AE21" s="24">
        <f>IF('Borc'!AE15&gt;1,'Borc'!AE20/'Borc'!AE15,"")</f>
        <v/>
      </c>
      <c r="AF21" s="24">
        <f>IF('Borc'!AF15&gt;1,'Borc'!AF20/'Borc'!AF15,"")</f>
        <v/>
      </c>
      <c r="AG21" s="24">
        <f>IF('Borc'!AG15&gt;1,'Borc'!AG20/'Borc'!AG15,"")</f>
        <v/>
      </c>
      <c r="AH21" s="24">
        <f>IF('Borc'!AH15&gt;1,'Borc'!AH20/'Borc'!AH15,"")</f>
        <v/>
      </c>
      <c r="AI21" s="24">
        <f>IF('Borc'!AI15&gt;1,'Borc'!AI20/'Borc'!AI15,"")</f>
        <v/>
      </c>
      <c r="AJ21" s="24">
        <f>IF('Borc'!AJ15&gt;1,'Borc'!AJ20/'Borc'!AJ15,"")</f>
        <v/>
      </c>
      <c r="AK21" s="24">
        <f>IF('Borc'!AK15&gt;1,'Borc'!AK20/'Borc'!AK15,"")</f>
        <v/>
      </c>
      <c r="AL21" s="24">
        <f>IF('Borc'!AL15&gt;1,'Borc'!AL20/'Borc'!AL15,"")</f>
        <v/>
      </c>
      <c r="AM21" s="24">
        <f>IF('Borc'!AM15&gt;1,'Borc'!AM20/'Borc'!AM15,"")</f>
        <v/>
      </c>
      <c r="AN21" s="24">
        <f>IF('Borc'!AN15&gt;1,'Borc'!AN20/'Borc'!AN15,"")</f>
        <v/>
      </c>
      <c r="AO21" s="24">
        <f>IF('Borc'!AO15&gt;1,'Borc'!AO20/'Borc'!AO15,"")</f>
        <v/>
      </c>
      <c r="AP21" s="24">
        <f>IF('Borc'!AP15&gt;1,'Borc'!AP20/'Borc'!AP15,"")</f>
        <v/>
      </c>
      <c r="AQ21" s="24">
        <f>IF('Borc'!AQ15&gt;1,'Borc'!AQ20/'Borc'!AQ15,"")</f>
        <v/>
      </c>
      <c r="AR21" s="24">
        <f>IF('Borc'!AR15&gt;1,'Borc'!AR20/'Borc'!AR15,"")</f>
        <v/>
      </c>
    </row>
    <row r="22">
      <c r="A22" t="inlineStr">
        <is>
          <t>Faiz vergi kalkanı (reel)</t>
        </is>
      </c>
      <c r="B22" t="inlineStr">
        <is>
          <t>USD</t>
        </is>
      </c>
      <c r="C22" t="inlineStr"/>
      <c r="D22" s="18">
        <f>SUM(F22:AR22)</f>
        <v/>
      </c>
      <c r="E22" s="18" t="n">
        <v>0</v>
      </c>
      <c r="F22" s="18">
        <f>IF('Zaman'!F9&gt;0,MIN('Borc'!F16*Girdiler!$C$74,MAX(Vergi!F44,0)*'Zaman'!F11)/'Zaman'!F11,0)</f>
        <v/>
      </c>
      <c r="G22" s="18">
        <f>IF('Zaman'!G9&gt;0,MIN('Borc'!G16*Girdiler!$C$74,MAX(Vergi!G44,0)*'Zaman'!G11)/'Zaman'!G11,0)</f>
        <v/>
      </c>
      <c r="H22" s="18">
        <f>IF('Zaman'!H9&gt;0,MIN('Borc'!H16*Girdiler!$C$74,MAX(Vergi!H44,0)*'Zaman'!H11)/'Zaman'!H11,0)</f>
        <v/>
      </c>
      <c r="I22" s="18">
        <f>IF('Zaman'!I9&gt;0,MIN('Borc'!I16*Girdiler!$C$74,MAX(Vergi!I44,0)*'Zaman'!I11)/'Zaman'!I11,0)</f>
        <v/>
      </c>
      <c r="J22" s="18">
        <f>IF('Zaman'!J9&gt;0,MIN('Borc'!J16*Girdiler!$C$74,MAX(Vergi!J44,0)*'Zaman'!J11)/'Zaman'!J11,0)</f>
        <v/>
      </c>
      <c r="K22" s="18">
        <f>IF('Zaman'!K9&gt;0,MIN('Borc'!K16*Girdiler!$C$74,MAX(Vergi!K44,0)*'Zaman'!K11)/'Zaman'!K11,0)</f>
        <v/>
      </c>
      <c r="L22" s="18">
        <f>IF('Zaman'!L9&gt;0,MIN('Borc'!L16*Girdiler!$C$74,MAX(Vergi!L44,0)*'Zaman'!L11)/'Zaman'!L11,0)</f>
        <v/>
      </c>
      <c r="M22" s="18">
        <f>IF('Zaman'!M9&gt;0,MIN('Borc'!M16*Girdiler!$C$74,MAX(Vergi!M44,0)*'Zaman'!M11)/'Zaman'!M11,0)</f>
        <v/>
      </c>
      <c r="N22" s="18">
        <f>IF('Zaman'!N9&gt;0,MIN('Borc'!N16*Girdiler!$C$74,MAX(Vergi!N44,0)*'Zaman'!N11)/'Zaman'!N11,0)</f>
        <v/>
      </c>
      <c r="O22" s="18">
        <f>IF('Zaman'!O9&gt;0,MIN('Borc'!O16*Girdiler!$C$74,MAX(Vergi!O44,0)*'Zaman'!O11)/'Zaman'!O11,0)</f>
        <v/>
      </c>
      <c r="P22" s="18">
        <f>IF('Zaman'!P9&gt;0,MIN('Borc'!P16*Girdiler!$C$74,MAX(Vergi!P44,0)*'Zaman'!P11)/'Zaman'!P11,0)</f>
        <v/>
      </c>
      <c r="Q22" s="18">
        <f>IF('Zaman'!Q9&gt;0,MIN('Borc'!Q16*Girdiler!$C$74,MAX(Vergi!Q44,0)*'Zaman'!Q11)/'Zaman'!Q11,0)</f>
        <v/>
      </c>
      <c r="R22" s="18">
        <f>IF('Zaman'!R9&gt;0,MIN('Borc'!R16*Girdiler!$C$74,MAX(Vergi!R44,0)*'Zaman'!R11)/'Zaman'!R11,0)</f>
        <v/>
      </c>
      <c r="S22" s="18">
        <f>IF('Zaman'!S9&gt;0,MIN('Borc'!S16*Girdiler!$C$74,MAX(Vergi!S44,0)*'Zaman'!S11)/'Zaman'!S11,0)</f>
        <v/>
      </c>
      <c r="T22" s="18">
        <f>IF('Zaman'!T9&gt;0,MIN('Borc'!T16*Girdiler!$C$74,MAX(Vergi!T44,0)*'Zaman'!T11)/'Zaman'!T11,0)</f>
        <v/>
      </c>
      <c r="U22" s="18">
        <f>IF('Zaman'!U9&gt;0,MIN('Borc'!U16*Girdiler!$C$74,MAX(Vergi!U44,0)*'Zaman'!U11)/'Zaman'!U11,0)</f>
        <v/>
      </c>
      <c r="V22" s="18">
        <f>IF('Zaman'!V9&gt;0,MIN('Borc'!V16*Girdiler!$C$74,MAX(Vergi!V44,0)*'Zaman'!V11)/'Zaman'!V11,0)</f>
        <v/>
      </c>
      <c r="W22" s="18">
        <f>IF('Zaman'!W9&gt;0,MIN('Borc'!W16*Girdiler!$C$74,MAX(Vergi!W44,0)*'Zaman'!W11)/'Zaman'!W11,0)</f>
        <v/>
      </c>
      <c r="X22" s="18">
        <f>IF('Zaman'!X9&gt;0,MIN('Borc'!X16*Girdiler!$C$74,MAX(Vergi!X44,0)*'Zaman'!X11)/'Zaman'!X11,0)</f>
        <v/>
      </c>
      <c r="Y22" s="18">
        <f>IF('Zaman'!Y9&gt;0,MIN('Borc'!Y16*Girdiler!$C$74,MAX(Vergi!Y44,0)*'Zaman'!Y11)/'Zaman'!Y11,0)</f>
        <v/>
      </c>
      <c r="Z22" s="18">
        <f>IF('Zaman'!Z9&gt;0,MIN('Borc'!Z16*Girdiler!$C$74,MAX(Vergi!Z44,0)*'Zaman'!Z11)/'Zaman'!Z11,0)</f>
        <v/>
      </c>
      <c r="AA22" s="18">
        <f>IF('Zaman'!AA9&gt;0,MIN('Borc'!AA16*Girdiler!$C$74,MAX(Vergi!AA44,0)*'Zaman'!AA11)/'Zaman'!AA11,0)</f>
        <v/>
      </c>
      <c r="AB22" s="18">
        <f>IF('Zaman'!AB9&gt;0,MIN('Borc'!AB16*Girdiler!$C$74,MAX(Vergi!AB44,0)*'Zaman'!AB11)/'Zaman'!AB11,0)</f>
        <v/>
      </c>
      <c r="AC22" s="18">
        <f>IF('Zaman'!AC9&gt;0,MIN('Borc'!AC16*Girdiler!$C$74,MAX(Vergi!AC44,0)*'Zaman'!AC11)/'Zaman'!AC11,0)</f>
        <v/>
      </c>
      <c r="AD22" s="18">
        <f>IF('Zaman'!AD9&gt;0,MIN('Borc'!AD16*Girdiler!$C$74,MAX(Vergi!AD44,0)*'Zaman'!AD11)/'Zaman'!AD11,0)</f>
        <v/>
      </c>
      <c r="AE22" s="18">
        <f>IF('Zaman'!AE9&gt;0,MIN('Borc'!AE16*Girdiler!$C$74,MAX(Vergi!AE44,0)*'Zaman'!AE11)/'Zaman'!AE11,0)</f>
        <v/>
      </c>
      <c r="AF22" s="18">
        <f>IF('Zaman'!AF9&gt;0,MIN('Borc'!AF16*Girdiler!$C$74,MAX(Vergi!AF44,0)*'Zaman'!AF11)/'Zaman'!AF11,0)</f>
        <v/>
      </c>
      <c r="AG22" s="18">
        <f>IF('Zaman'!AG9&gt;0,MIN('Borc'!AG16*Girdiler!$C$74,MAX(Vergi!AG44,0)*'Zaman'!AG11)/'Zaman'!AG11,0)</f>
        <v/>
      </c>
      <c r="AH22" s="18">
        <f>IF('Zaman'!AH9&gt;0,MIN('Borc'!AH16*Girdiler!$C$74,MAX(Vergi!AH44,0)*'Zaman'!AH11)/'Zaman'!AH11,0)</f>
        <v/>
      </c>
      <c r="AI22" s="18">
        <f>IF('Zaman'!AI9&gt;0,MIN('Borc'!AI16*Girdiler!$C$74,MAX(Vergi!AI44,0)*'Zaman'!AI11)/'Zaman'!AI11,0)</f>
        <v/>
      </c>
      <c r="AJ22" s="18">
        <f>IF('Zaman'!AJ9&gt;0,MIN('Borc'!AJ16*Girdiler!$C$74,MAX(Vergi!AJ44,0)*'Zaman'!AJ11)/'Zaman'!AJ11,0)</f>
        <v/>
      </c>
      <c r="AK22" s="18">
        <f>IF('Zaman'!AK9&gt;0,MIN('Borc'!AK16*Girdiler!$C$74,MAX(Vergi!AK44,0)*'Zaman'!AK11)/'Zaman'!AK11,0)</f>
        <v/>
      </c>
      <c r="AL22" s="18">
        <f>IF('Zaman'!AL9&gt;0,MIN('Borc'!AL16*Girdiler!$C$74,MAX(Vergi!AL44,0)*'Zaman'!AL11)/'Zaman'!AL11,0)</f>
        <v/>
      </c>
      <c r="AM22" s="18">
        <f>IF('Zaman'!AM9&gt;0,MIN('Borc'!AM16*Girdiler!$C$74,MAX(Vergi!AM44,0)*'Zaman'!AM11)/'Zaman'!AM11,0)</f>
        <v/>
      </c>
      <c r="AN22" s="18">
        <f>IF('Zaman'!AN9&gt;0,MIN('Borc'!AN16*Girdiler!$C$74,MAX(Vergi!AN44,0)*'Zaman'!AN11)/'Zaman'!AN11,0)</f>
        <v/>
      </c>
      <c r="AO22" s="18">
        <f>IF('Zaman'!AO9&gt;0,MIN('Borc'!AO16*Girdiler!$C$74,MAX(Vergi!AO44,0)*'Zaman'!AO11)/'Zaman'!AO11,0)</f>
        <v/>
      </c>
      <c r="AP22" s="18">
        <f>IF('Zaman'!AP9&gt;0,MIN('Borc'!AP16*Girdiler!$C$74,MAX(Vergi!AP44,0)*'Zaman'!AP11)/'Zaman'!AP11,0)</f>
        <v/>
      </c>
      <c r="AQ22" s="18">
        <f>IF('Zaman'!AQ9&gt;0,MIN('Borc'!AQ16*Girdiler!$C$74,MAX(Vergi!AQ44,0)*'Zaman'!AQ11)/'Zaman'!AQ11,0)</f>
        <v/>
      </c>
      <c r="AR22" s="18">
        <f>IF('Zaman'!AR9&gt;0,MIN('Borc'!AR16*Girdiler!$C$74,MAX(Vergi!AR44,0)*'Zaman'!AR11)/'Zaman'!AR11,0)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40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>
      <c r="A1" s="19" t="inlineStr">
        <is>
          <t>Proje ve öz kaynak nakit akışları (reel 2026 USD)</t>
        </is>
      </c>
    </row>
    <row r="2"/>
    <row r="3"/>
    <row r="4">
      <c r="A4" s="8" t="inlineStr">
        <is>
          <t>Kalem</t>
        </is>
      </c>
      <c r="B4" s="8" t="inlineStr">
        <is>
          <t>Birim</t>
        </is>
      </c>
      <c r="C4" s="8" t="inlineStr">
        <is>
          <t>Not / kaynak</t>
        </is>
      </c>
      <c r="D4" s="8" t="inlineStr">
        <is>
          <t>Toplam / değer</t>
        </is>
      </c>
      <c r="E4" s="8" t="inlineStr">
        <is>
          <t>t0 (bugün)</t>
        </is>
      </c>
      <c r="F4" s="8" t="n">
        <v>2026</v>
      </c>
      <c r="G4" s="8" t="n">
        <v>2027</v>
      </c>
      <c r="H4" s="8" t="n">
        <v>2028</v>
      </c>
      <c r="I4" s="8" t="n">
        <v>2029</v>
      </c>
      <c r="J4" s="8" t="n">
        <v>2030</v>
      </c>
      <c r="K4" s="8" t="n">
        <v>2031</v>
      </c>
      <c r="L4" s="8" t="n">
        <v>2032</v>
      </c>
      <c r="M4" s="8" t="n">
        <v>2033</v>
      </c>
      <c r="N4" s="8" t="n">
        <v>2034</v>
      </c>
      <c r="O4" s="8" t="n">
        <v>2035</v>
      </c>
      <c r="P4" s="8" t="n">
        <v>2036</v>
      </c>
      <c r="Q4" s="8" t="n">
        <v>2037</v>
      </c>
      <c r="R4" s="8" t="n">
        <v>2038</v>
      </c>
      <c r="S4" s="8" t="n">
        <v>2039</v>
      </c>
      <c r="T4" s="8" t="n">
        <v>2040</v>
      </c>
      <c r="U4" s="8" t="n">
        <v>2041</v>
      </c>
      <c r="V4" s="8" t="n">
        <v>2042</v>
      </c>
      <c r="W4" s="8" t="n">
        <v>2043</v>
      </c>
      <c r="X4" s="8" t="n">
        <v>2044</v>
      </c>
      <c r="Y4" s="8" t="n">
        <v>2045</v>
      </c>
      <c r="Z4" s="8" t="n">
        <v>2046</v>
      </c>
      <c r="AA4" s="8" t="n">
        <v>2047</v>
      </c>
      <c r="AB4" s="8" t="n">
        <v>2048</v>
      </c>
      <c r="AC4" s="8" t="n">
        <v>2049</v>
      </c>
      <c r="AD4" s="8" t="n">
        <v>2050</v>
      </c>
      <c r="AE4" s="8" t="n">
        <v>2051</v>
      </c>
      <c r="AF4" s="8" t="n">
        <v>2052</v>
      </c>
      <c r="AG4" s="8" t="n">
        <v>2053</v>
      </c>
      <c r="AH4" s="8" t="n">
        <v>2054</v>
      </c>
      <c r="AI4" s="8" t="n">
        <v>2055</v>
      </c>
      <c r="AJ4" s="8" t="n">
        <v>2056</v>
      </c>
      <c r="AK4" s="8" t="n">
        <v>2057</v>
      </c>
      <c r="AL4" s="8" t="n">
        <v>2058</v>
      </c>
      <c r="AM4" s="8" t="n">
        <v>2059</v>
      </c>
      <c r="AN4" s="8" t="n">
        <v>2060</v>
      </c>
      <c r="AO4" s="8" t="n">
        <v>2061</v>
      </c>
      <c r="AP4" s="8" t="n">
        <v>2062</v>
      </c>
      <c r="AQ4" s="8" t="n">
        <v>2063</v>
      </c>
      <c r="AR4" s="8" t="n">
        <v>2064</v>
      </c>
    </row>
    <row r="5"/>
    <row r="6">
      <c r="A6" t="inlineStr">
        <is>
          <t>CAPEX</t>
        </is>
      </c>
      <c r="B6" t="inlineStr">
        <is>
          <t>USD</t>
        </is>
      </c>
      <c r="C6" t="inlineStr"/>
      <c r="D6" s="18">
        <f>SUM(F6:AR6)</f>
        <v/>
      </c>
      <c r="E6" s="18" t="n">
        <v>0</v>
      </c>
      <c r="F6" s="18">
        <f>-Girdiler!$C$90*'Zaman'!F8</f>
        <v/>
      </c>
      <c r="G6" s="18">
        <f>-Girdiler!$C$90*'Zaman'!G8</f>
        <v/>
      </c>
      <c r="H6" s="18">
        <f>-Girdiler!$C$90*'Zaman'!H8</f>
        <v/>
      </c>
      <c r="I6" s="18">
        <f>-Girdiler!$C$90*'Zaman'!I8</f>
        <v/>
      </c>
      <c r="J6" s="18">
        <f>-Girdiler!$C$90*'Zaman'!J8</f>
        <v/>
      </c>
      <c r="K6" s="18">
        <f>-Girdiler!$C$90*'Zaman'!K8</f>
        <v/>
      </c>
      <c r="L6" s="18">
        <f>-Girdiler!$C$90*'Zaman'!L8</f>
        <v/>
      </c>
      <c r="M6" s="18">
        <f>-Girdiler!$C$90*'Zaman'!M8</f>
        <v/>
      </c>
      <c r="N6" s="18">
        <f>-Girdiler!$C$90*'Zaman'!N8</f>
        <v/>
      </c>
      <c r="O6" s="18">
        <f>-Girdiler!$C$90*'Zaman'!O8</f>
        <v/>
      </c>
      <c r="P6" s="18">
        <f>-Girdiler!$C$90*'Zaman'!P8</f>
        <v/>
      </c>
      <c r="Q6" s="18">
        <f>-Girdiler!$C$90*'Zaman'!Q8</f>
        <v/>
      </c>
      <c r="R6" s="18">
        <f>-Girdiler!$C$90*'Zaman'!R8</f>
        <v/>
      </c>
      <c r="S6" s="18">
        <f>-Girdiler!$C$90*'Zaman'!S8</f>
        <v/>
      </c>
      <c r="T6" s="18">
        <f>-Girdiler!$C$90*'Zaman'!T8</f>
        <v/>
      </c>
      <c r="U6" s="18">
        <f>-Girdiler!$C$90*'Zaman'!U8</f>
        <v/>
      </c>
      <c r="V6" s="18">
        <f>-Girdiler!$C$90*'Zaman'!V8</f>
        <v/>
      </c>
      <c r="W6" s="18">
        <f>-Girdiler!$C$90*'Zaman'!W8</f>
        <v/>
      </c>
      <c r="X6" s="18">
        <f>-Girdiler!$C$90*'Zaman'!X8</f>
        <v/>
      </c>
      <c r="Y6" s="18">
        <f>-Girdiler!$C$90*'Zaman'!Y8</f>
        <v/>
      </c>
      <c r="Z6" s="18">
        <f>-Girdiler!$C$90*'Zaman'!Z8</f>
        <v/>
      </c>
      <c r="AA6" s="18">
        <f>-Girdiler!$C$90*'Zaman'!AA8</f>
        <v/>
      </c>
      <c r="AB6" s="18">
        <f>-Girdiler!$C$90*'Zaman'!AB8</f>
        <v/>
      </c>
      <c r="AC6" s="18">
        <f>-Girdiler!$C$90*'Zaman'!AC8</f>
        <v/>
      </c>
      <c r="AD6" s="18">
        <f>-Girdiler!$C$90*'Zaman'!AD8</f>
        <v/>
      </c>
      <c r="AE6" s="18">
        <f>-Girdiler!$C$90*'Zaman'!AE8</f>
        <v/>
      </c>
      <c r="AF6" s="18">
        <f>-Girdiler!$C$90*'Zaman'!AF8</f>
        <v/>
      </c>
      <c r="AG6" s="18">
        <f>-Girdiler!$C$90*'Zaman'!AG8</f>
        <v/>
      </c>
      <c r="AH6" s="18">
        <f>-Girdiler!$C$90*'Zaman'!AH8</f>
        <v/>
      </c>
      <c r="AI6" s="18">
        <f>-Girdiler!$C$90*'Zaman'!AI8</f>
        <v/>
      </c>
      <c r="AJ6" s="18">
        <f>-Girdiler!$C$90*'Zaman'!AJ8</f>
        <v/>
      </c>
      <c r="AK6" s="18">
        <f>-Girdiler!$C$90*'Zaman'!AK8</f>
        <v/>
      </c>
      <c r="AL6" s="18">
        <f>-Girdiler!$C$90*'Zaman'!AL8</f>
        <v/>
      </c>
      <c r="AM6" s="18">
        <f>-Girdiler!$C$90*'Zaman'!AM8</f>
        <v/>
      </c>
      <c r="AN6" s="18">
        <f>-Girdiler!$C$90*'Zaman'!AN8</f>
        <v/>
      </c>
      <c r="AO6" s="18">
        <f>-Girdiler!$C$90*'Zaman'!AO8</f>
        <v/>
      </c>
      <c r="AP6" s="18">
        <f>-Girdiler!$C$90*'Zaman'!AP8</f>
        <v/>
      </c>
      <c r="AQ6" s="18">
        <f>-Girdiler!$C$90*'Zaman'!AQ8</f>
        <v/>
      </c>
      <c r="AR6" s="18">
        <f>-Girdiler!$C$90*'Zaman'!AR8</f>
        <v/>
      </c>
    </row>
    <row r="7">
      <c r="A7" t="inlineStr">
        <is>
          <t>KDV (ödenen − mahsup)</t>
        </is>
      </c>
      <c r="B7" t="inlineStr">
        <is>
          <t>USD</t>
        </is>
      </c>
      <c r="C7" t="inlineStr"/>
      <c r="D7" s="18">
        <f>SUM(F7:AR7)</f>
        <v/>
      </c>
      <c r="E7" s="18" t="n">
        <v>0</v>
      </c>
      <c r="F7" s="18">
        <f>-'Vergi'!F88+'Vergi'!F91</f>
        <v/>
      </c>
      <c r="G7" s="18">
        <f>-'Vergi'!G88+'Vergi'!G91</f>
        <v/>
      </c>
      <c r="H7" s="18">
        <f>-'Vergi'!H88+'Vergi'!H91</f>
        <v/>
      </c>
      <c r="I7" s="18">
        <f>-'Vergi'!I88+'Vergi'!I91</f>
        <v/>
      </c>
      <c r="J7" s="18">
        <f>-'Vergi'!J88+'Vergi'!J91</f>
        <v/>
      </c>
      <c r="K7" s="18">
        <f>-'Vergi'!K88+'Vergi'!K91</f>
        <v/>
      </c>
      <c r="L7" s="18">
        <f>-'Vergi'!L88+'Vergi'!L91</f>
        <v/>
      </c>
      <c r="M7" s="18">
        <f>-'Vergi'!M88+'Vergi'!M91</f>
        <v/>
      </c>
      <c r="N7" s="18">
        <f>-'Vergi'!N88+'Vergi'!N91</f>
        <v/>
      </c>
      <c r="O7" s="18">
        <f>-'Vergi'!O88+'Vergi'!O91</f>
        <v/>
      </c>
      <c r="P7" s="18">
        <f>-'Vergi'!P88+'Vergi'!P91</f>
        <v/>
      </c>
      <c r="Q7" s="18">
        <f>-'Vergi'!Q88+'Vergi'!Q91</f>
        <v/>
      </c>
      <c r="R7" s="18">
        <f>-'Vergi'!R88+'Vergi'!R91</f>
        <v/>
      </c>
      <c r="S7" s="18">
        <f>-'Vergi'!S88+'Vergi'!S91</f>
        <v/>
      </c>
      <c r="T7" s="18">
        <f>-'Vergi'!T88+'Vergi'!T91</f>
        <v/>
      </c>
      <c r="U7" s="18">
        <f>-'Vergi'!U88+'Vergi'!U91</f>
        <v/>
      </c>
      <c r="V7" s="18">
        <f>-'Vergi'!V88+'Vergi'!V91</f>
        <v/>
      </c>
      <c r="W7" s="18">
        <f>-'Vergi'!W88+'Vergi'!W91</f>
        <v/>
      </c>
      <c r="X7" s="18">
        <f>-'Vergi'!X88+'Vergi'!X91</f>
        <v/>
      </c>
      <c r="Y7" s="18">
        <f>-'Vergi'!Y88+'Vergi'!Y91</f>
        <v/>
      </c>
      <c r="Z7" s="18">
        <f>-'Vergi'!Z88+'Vergi'!Z91</f>
        <v/>
      </c>
      <c r="AA7" s="18">
        <f>-'Vergi'!AA88+'Vergi'!AA91</f>
        <v/>
      </c>
      <c r="AB7" s="18">
        <f>-'Vergi'!AB88+'Vergi'!AB91</f>
        <v/>
      </c>
      <c r="AC7" s="18">
        <f>-'Vergi'!AC88+'Vergi'!AC91</f>
        <v/>
      </c>
      <c r="AD7" s="18">
        <f>-'Vergi'!AD88+'Vergi'!AD91</f>
        <v/>
      </c>
      <c r="AE7" s="18">
        <f>-'Vergi'!AE88+'Vergi'!AE91</f>
        <v/>
      </c>
      <c r="AF7" s="18">
        <f>-'Vergi'!AF88+'Vergi'!AF91</f>
        <v/>
      </c>
      <c r="AG7" s="18">
        <f>-'Vergi'!AG88+'Vergi'!AG91</f>
        <v/>
      </c>
      <c r="AH7" s="18">
        <f>-'Vergi'!AH88+'Vergi'!AH91</f>
        <v/>
      </c>
      <c r="AI7" s="18">
        <f>-'Vergi'!AI88+'Vergi'!AI91</f>
        <v/>
      </c>
      <c r="AJ7" s="18">
        <f>-'Vergi'!AJ88+'Vergi'!AJ91</f>
        <v/>
      </c>
      <c r="AK7" s="18">
        <f>-'Vergi'!AK88+'Vergi'!AK91</f>
        <v/>
      </c>
      <c r="AL7" s="18">
        <f>-'Vergi'!AL88+'Vergi'!AL91</f>
        <v/>
      </c>
      <c r="AM7" s="18">
        <f>-'Vergi'!AM88+'Vergi'!AM91</f>
        <v/>
      </c>
      <c r="AN7" s="18">
        <f>-'Vergi'!AN88+'Vergi'!AN91</f>
        <v/>
      </c>
      <c r="AO7" s="18">
        <f>-'Vergi'!AO88+'Vergi'!AO91</f>
        <v/>
      </c>
      <c r="AP7" s="18">
        <f>-'Vergi'!AP88+'Vergi'!AP91</f>
        <v/>
      </c>
      <c r="AQ7" s="18">
        <f>-'Vergi'!AQ88+'Vergi'!AQ91</f>
        <v/>
      </c>
      <c r="AR7" s="18">
        <f>-'Vergi'!AR88+'Vergi'!AR91</f>
        <v/>
      </c>
    </row>
    <row r="8">
      <c r="A8" t="inlineStr">
        <is>
          <t>CFADS</t>
        </is>
      </c>
      <c r="B8" t="inlineStr">
        <is>
          <t>USD</t>
        </is>
      </c>
      <c r="C8" t="inlineStr"/>
      <c r="D8" s="18">
        <f>SUM(F8:AR8)</f>
        <v/>
      </c>
      <c r="E8" s="18" t="n">
        <v>0</v>
      </c>
      <c r="F8" s="18">
        <f>Vergi!F45</f>
        <v/>
      </c>
      <c r="G8" s="18">
        <f>Vergi!G45</f>
        <v/>
      </c>
      <c r="H8" s="18">
        <f>Vergi!H45</f>
        <v/>
      </c>
      <c r="I8" s="18">
        <f>Vergi!I45</f>
        <v/>
      </c>
      <c r="J8" s="18">
        <f>Vergi!J45</f>
        <v/>
      </c>
      <c r="K8" s="18">
        <f>Vergi!K45</f>
        <v/>
      </c>
      <c r="L8" s="18">
        <f>Vergi!L45</f>
        <v/>
      </c>
      <c r="M8" s="18">
        <f>Vergi!M45</f>
        <v/>
      </c>
      <c r="N8" s="18">
        <f>Vergi!N45</f>
        <v/>
      </c>
      <c r="O8" s="18">
        <f>Vergi!O45</f>
        <v/>
      </c>
      <c r="P8" s="18">
        <f>Vergi!P45</f>
        <v/>
      </c>
      <c r="Q8" s="18">
        <f>Vergi!Q45</f>
        <v/>
      </c>
      <c r="R8" s="18">
        <f>Vergi!R45</f>
        <v/>
      </c>
      <c r="S8" s="18">
        <f>Vergi!S45</f>
        <v/>
      </c>
      <c r="T8" s="18">
        <f>Vergi!T45</f>
        <v/>
      </c>
      <c r="U8" s="18">
        <f>Vergi!U45</f>
        <v/>
      </c>
      <c r="V8" s="18">
        <f>Vergi!V45</f>
        <v/>
      </c>
      <c r="W8" s="18">
        <f>Vergi!W45</f>
        <v/>
      </c>
      <c r="X8" s="18">
        <f>Vergi!X45</f>
        <v/>
      </c>
      <c r="Y8" s="18">
        <f>Vergi!Y45</f>
        <v/>
      </c>
      <c r="Z8" s="18">
        <f>Vergi!Z45</f>
        <v/>
      </c>
      <c r="AA8" s="18">
        <f>Vergi!AA45</f>
        <v/>
      </c>
      <c r="AB8" s="18">
        <f>Vergi!AB45</f>
        <v/>
      </c>
      <c r="AC8" s="18">
        <f>Vergi!AC45</f>
        <v/>
      </c>
      <c r="AD8" s="18">
        <f>Vergi!AD45</f>
        <v/>
      </c>
      <c r="AE8" s="18">
        <f>Vergi!AE45</f>
        <v/>
      </c>
      <c r="AF8" s="18">
        <f>Vergi!AF45</f>
        <v/>
      </c>
      <c r="AG8" s="18">
        <f>Vergi!AG45</f>
        <v/>
      </c>
      <c r="AH8" s="18">
        <f>Vergi!AH45</f>
        <v/>
      </c>
      <c r="AI8" s="18">
        <f>Vergi!AI45</f>
        <v/>
      </c>
      <c r="AJ8" s="18">
        <f>Vergi!AJ45</f>
        <v/>
      </c>
      <c r="AK8" s="18">
        <f>Vergi!AK45</f>
        <v/>
      </c>
      <c r="AL8" s="18">
        <f>Vergi!AL45</f>
        <v/>
      </c>
      <c r="AM8" s="18">
        <f>Vergi!AM45</f>
        <v/>
      </c>
      <c r="AN8" s="18">
        <f>Vergi!AN45</f>
        <v/>
      </c>
      <c r="AO8" s="18">
        <f>Vergi!AO45</f>
        <v/>
      </c>
      <c r="AP8" s="18">
        <f>Vergi!AP45</f>
        <v/>
      </c>
      <c r="AQ8" s="18">
        <f>Vergi!AQ45</f>
        <v/>
      </c>
      <c r="AR8" s="18">
        <f>Vergi!AR45</f>
        <v/>
      </c>
    </row>
    <row r="9">
      <c r="A9" t="inlineStr">
        <is>
          <t>Proje nakit akışı</t>
        </is>
      </c>
      <c r="B9" t="inlineStr">
        <is>
          <t>USD</t>
        </is>
      </c>
      <c r="C9" t="inlineStr"/>
      <c r="D9" s="18">
        <f>SUM(F9:AR9)</f>
        <v/>
      </c>
      <c r="E9" s="18">
        <f>-Girdiler!$C$11</f>
        <v/>
      </c>
      <c r="F9" s="18">
        <f>'Nakit_akisi'!F6+'Nakit_akisi'!F7+'Nakit_akisi'!F8</f>
        <v/>
      </c>
      <c r="G9" s="18">
        <f>'Nakit_akisi'!G6+'Nakit_akisi'!G7+'Nakit_akisi'!G8</f>
        <v/>
      </c>
      <c r="H9" s="18">
        <f>'Nakit_akisi'!H6+'Nakit_akisi'!H7+'Nakit_akisi'!H8</f>
        <v/>
      </c>
      <c r="I9" s="18">
        <f>'Nakit_akisi'!I6+'Nakit_akisi'!I7+'Nakit_akisi'!I8</f>
        <v/>
      </c>
      <c r="J9" s="18">
        <f>'Nakit_akisi'!J6+'Nakit_akisi'!J7+'Nakit_akisi'!J8</f>
        <v/>
      </c>
      <c r="K9" s="18">
        <f>'Nakit_akisi'!K6+'Nakit_akisi'!K7+'Nakit_akisi'!K8</f>
        <v/>
      </c>
      <c r="L9" s="18">
        <f>'Nakit_akisi'!L6+'Nakit_akisi'!L7+'Nakit_akisi'!L8</f>
        <v/>
      </c>
      <c r="M9" s="18">
        <f>'Nakit_akisi'!M6+'Nakit_akisi'!M7+'Nakit_akisi'!M8</f>
        <v/>
      </c>
      <c r="N9" s="18">
        <f>'Nakit_akisi'!N6+'Nakit_akisi'!N7+'Nakit_akisi'!N8</f>
        <v/>
      </c>
      <c r="O9" s="18">
        <f>'Nakit_akisi'!O6+'Nakit_akisi'!O7+'Nakit_akisi'!O8</f>
        <v/>
      </c>
      <c r="P9" s="18">
        <f>'Nakit_akisi'!P6+'Nakit_akisi'!P7+'Nakit_akisi'!P8</f>
        <v/>
      </c>
      <c r="Q9" s="18">
        <f>'Nakit_akisi'!Q6+'Nakit_akisi'!Q7+'Nakit_akisi'!Q8</f>
        <v/>
      </c>
      <c r="R9" s="18">
        <f>'Nakit_akisi'!R6+'Nakit_akisi'!R7+'Nakit_akisi'!R8</f>
        <v/>
      </c>
      <c r="S9" s="18">
        <f>'Nakit_akisi'!S6+'Nakit_akisi'!S7+'Nakit_akisi'!S8</f>
        <v/>
      </c>
      <c r="T9" s="18">
        <f>'Nakit_akisi'!T6+'Nakit_akisi'!T7+'Nakit_akisi'!T8</f>
        <v/>
      </c>
      <c r="U9" s="18">
        <f>'Nakit_akisi'!U6+'Nakit_akisi'!U7+'Nakit_akisi'!U8</f>
        <v/>
      </c>
      <c r="V9" s="18">
        <f>'Nakit_akisi'!V6+'Nakit_akisi'!V7+'Nakit_akisi'!V8</f>
        <v/>
      </c>
      <c r="W9" s="18">
        <f>'Nakit_akisi'!W6+'Nakit_akisi'!W7+'Nakit_akisi'!W8</f>
        <v/>
      </c>
      <c r="X9" s="18">
        <f>'Nakit_akisi'!X6+'Nakit_akisi'!X7+'Nakit_akisi'!X8</f>
        <v/>
      </c>
      <c r="Y9" s="18">
        <f>'Nakit_akisi'!Y6+'Nakit_akisi'!Y7+'Nakit_akisi'!Y8</f>
        <v/>
      </c>
      <c r="Z9" s="18">
        <f>'Nakit_akisi'!Z6+'Nakit_akisi'!Z7+'Nakit_akisi'!Z8</f>
        <v/>
      </c>
      <c r="AA9" s="18">
        <f>'Nakit_akisi'!AA6+'Nakit_akisi'!AA7+'Nakit_akisi'!AA8</f>
        <v/>
      </c>
      <c r="AB9" s="18">
        <f>'Nakit_akisi'!AB6+'Nakit_akisi'!AB7+'Nakit_akisi'!AB8</f>
        <v/>
      </c>
      <c r="AC9" s="18">
        <f>'Nakit_akisi'!AC6+'Nakit_akisi'!AC7+'Nakit_akisi'!AC8</f>
        <v/>
      </c>
      <c r="AD9" s="18">
        <f>'Nakit_akisi'!AD6+'Nakit_akisi'!AD7+'Nakit_akisi'!AD8</f>
        <v/>
      </c>
      <c r="AE9" s="18">
        <f>'Nakit_akisi'!AE6+'Nakit_akisi'!AE7+'Nakit_akisi'!AE8</f>
        <v/>
      </c>
      <c r="AF9" s="18">
        <f>'Nakit_akisi'!AF6+'Nakit_akisi'!AF7+'Nakit_akisi'!AF8</f>
        <v/>
      </c>
      <c r="AG9" s="18">
        <f>'Nakit_akisi'!AG6+'Nakit_akisi'!AG7+'Nakit_akisi'!AG8</f>
        <v/>
      </c>
      <c r="AH9" s="18">
        <f>'Nakit_akisi'!AH6+'Nakit_akisi'!AH7+'Nakit_akisi'!AH8</f>
        <v/>
      </c>
      <c r="AI9" s="18">
        <f>'Nakit_akisi'!AI6+'Nakit_akisi'!AI7+'Nakit_akisi'!AI8</f>
        <v/>
      </c>
      <c r="AJ9" s="18">
        <f>'Nakit_akisi'!AJ6+'Nakit_akisi'!AJ7+'Nakit_akisi'!AJ8</f>
        <v/>
      </c>
      <c r="AK9" s="18">
        <f>'Nakit_akisi'!AK6+'Nakit_akisi'!AK7+'Nakit_akisi'!AK8</f>
        <v/>
      </c>
      <c r="AL9" s="18">
        <f>'Nakit_akisi'!AL6+'Nakit_akisi'!AL7+'Nakit_akisi'!AL8</f>
        <v/>
      </c>
      <c r="AM9" s="18">
        <f>'Nakit_akisi'!AM6+'Nakit_akisi'!AM7+'Nakit_akisi'!AM8</f>
        <v/>
      </c>
      <c r="AN9" s="18">
        <f>'Nakit_akisi'!AN6+'Nakit_akisi'!AN7+'Nakit_akisi'!AN8</f>
        <v/>
      </c>
      <c r="AO9" s="18">
        <f>'Nakit_akisi'!AO6+'Nakit_akisi'!AO7+'Nakit_akisi'!AO8</f>
        <v/>
      </c>
      <c r="AP9" s="18">
        <f>'Nakit_akisi'!AP6+'Nakit_akisi'!AP7+'Nakit_akisi'!AP8</f>
        <v/>
      </c>
      <c r="AQ9" s="18">
        <f>'Nakit_akisi'!AQ6+'Nakit_akisi'!AQ7+'Nakit_akisi'!AQ8</f>
        <v/>
      </c>
      <c r="AR9" s="18">
        <f>'Nakit_akisi'!AR6+'Nakit_akisi'!AR7+'Nakit_akisi'!AR8</f>
        <v/>
      </c>
    </row>
    <row r="10">
      <c r="A10" t="inlineStr">
        <is>
          <t>Borç kullanımı (reel)</t>
        </is>
      </c>
      <c r="B10" t="inlineStr">
        <is>
          <t>USD</t>
        </is>
      </c>
      <c r="C10" t="inlineStr"/>
      <c r="D10" s="18">
        <f>SUM(F10:AR10)</f>
        <v/>
      </c>
      <c r="E10" s="18" t="n">
        <v>0</v>
      </c>
      <c r="F10" s="18">
        <f>Borc!$D$13*'Zaman'!F8</f>
        <v/>
      </c>
      <c r="G10" s="18">
        <f>Borc!$D$13*'Zaman'!G8</f>
        <v/>
      </c>
      <c r="H10" s="18">
        <f>Borc!$D$13*'Zaman'!H8</f>
        <v/>
      </c>
      <c r="I10" s="18">
        <f>Borc!$D$13*'Zaman'!I8</f>
        <v/>
      </c>
      <c r="J10" s="18">
        <f>Borc!$D$13*'Zaman'!J8</f>
        <v/>
      </c>
      <c r="K10" s="18">
        <f>Borc!$D$13*'Zaman'!K8</f>
        <v/>
      </c>
      <c r="L10" s="18">
        <f>Borc!$D$13*'Zaman'!L8</f>
        <v/>
      </c>
      <c r="M10" s="18">
        <f>Borc!$D$13*'Zaman'!M8</f>
        <v/>
      </c>
      <c r="N10" s="18">
        <f>Borc!$D$13*'Zaman'!N8</f>
        <v/>
      </c>
      <c r="O10" s="18">
        <f>Borc!$D$13*'Zaman'!O8</f>
        <v/>
      </c>
      <c r="P10" s="18">
        <f>Borc!$D$13*'Zaman'!P8</f>
        <v/>
      </c>
      <c r="Q10" s="18">
        <f>Borc!$D$13*'Zaman'!Q8</f>
        <v/>
      </c>
      <c r="R10" s="18">
        <f>Borc!$D$13*'Zaman'!R8</f>
        <v/>
      </c>
      <c r="S10" s="18">
        <f>Borc!$D$13*'Zaman'!S8</f>
        <v/>
      </c>
      <c r="T10" s="18">
        <f>Borc!$D$13*'Zaman'!T8</f>
        <v/>
      </c>
      <c r="U10" s="18">
        <f>Borc!$D$13*'Zaman'!U8</f>
        <v/>
      </c>
      <c r="V10" s="18">
        <f>Borc!$D$13*'Zaman'!V8</f>
        <v/>
      </c>
      <c r="W10" s="18">
        <f>Borc!$D$13*'Zaman'!W8</f>
        <v/>
      </c>
      <c r="X10" s="18">
        <f>Borc!$D$13*'Zaman'!X8</f>
        <v/>
      </c>
      <c r="Y10" s="18">
        <f>Borc!$D$13*'Zaman'!Y8</f>
        <v/>
      </c>
      <c r="Z10" s="18">
        <f>Borc!$D$13*'Zaman'!Z8</f>
        <v/>
      </c>
      <c r="AA10" s="18">
        <f>Borc!$D$13*'Zaman'!AA8</f>
        <v/>
      </c>
      <c r="AB10" s="18">
        <f>Borc!$D$13*'Zaman'!AB8</f>
        <v/>
      </c>
      <c r="AC10" s="18">
        <f>Borc!$D$13*'Zaman'!AC8</f>
        <v/>
      </c>
      <c r="AD10" s="18">
        <f>Borc!$D$13*'Zaman'!AD8</f>
        <v/>
      </c>
      <c r="AE10" s="18">
        <f>Borc!$D$13*'Zaman'!AE8</f>
        <v/>
      </c>
      <c r="AF10" s="18">
        <f>Borc!$D$13*'Zaman'!AF8</f>
        <v/>
      </c>
      <c r="AG10" s="18">
        <f>Borc!$D$13*'Zaman'!AG8</f>
        <v/>
      </c>
      <c r="AH10" s="18">
        <f>Borc!$D$13*'Zaman'!AH8</f>
        <v/>
      </c>
      <c r="AI10" s="18">
        <f>Borc!$D$13*'Zaman'!AI8</f>
        <v/>
      </c>
      <c r="AJ10" s="18">
        <f>Borc!$D$13*'Zaman'!AJ8</f>
        <v/>
      </c>
      <c r="AK10" s="18">
        <f>Borc!$D$13*'Zaman'!AK8</f>
        <v/>
      </c>
      <c r="AL10" s="18">
        <f>Borc!$D$13*'Zaman'!AL8</f>
        <v/>
      </c>
      <c r="AM10" s="18">
        <f>Borc!$D$13*'Zaman'!AM8</f>
        <v/>
      </c>
      <c r="AN10" s="18">
        <f>Borc!$D$13*'Zaman'!AN8</f>
        <v/>
      </c>
      <c r="AO10" s="18">
        <f>Borc!$D$13*'Zaman'!AO8</f>
        <v/>
      </c>
      <c r="AP10" s="18">
        <f>Borc!$D$13*'Zaman'!AP8</f>
        <v/>
      </c>
      <c r="AQ10" s="18">
        <f>Borc!$D$13*'Zaman'!AQ8</f>
        <v/>
      </c>
      <c r="AR10" s="18">
        <f>Borc!$D$13*'Zaman'!AR8</f>
        <v/>
      </c>
    </row>
    <row r="11">
      <c r="A11" t="inlineStr">
        <is>
          <t>Borç servisi net (reel, kalkan sonrası)</t>
        </is>
      </c>
      <c r="B11" t="inlineStr">
        <is>
          <t>USD</t>
        </is>
      </c>
      <c r="C11" t="inlineStr"/>
      <c r="D11" s="18">
        <f>SUM(F11:AR11)</f>
        <v/>
      </c>
      <c r="E11" s="18" t="n">
        <v>0</v>
      </c>
      <c r="F11" s="18">
        <f>IF('Zaman'!F9&gt;0,-('Borc'!F14/'Zaman'!F11-'Borc'!F22),0)</f>
        <v/>
      </c>
      <c r="G11" s="18">
        <f>IF('Zaman'!G9&gt;0,-('Borc'!G14/'Zaman'!G11-'Borc'!G22),0)</f>
        <v/>
      </c>
      <c r="H11" s="18">
        <f>IF('Zaman'!H9&gt;0,-('Borc'!H14/'Zaman'!H11-'Borc'!H22),0)</f>
        <v/>
      </c>
      <c r="I11" s="18">
        <f>IF('Zaman'!I9&gt;0,-('Borc'!I14/'Zaman'!I11-'Borc'!I22),0)</f>
        <v/>
      </c>
      <c r="J11" s="18">
        <f>IF('Zaman'!J9&gt;0,-('Borc'!J14/'Zaman'!J11-'Borc'!J22),0)</f>
        <v/>
      </c>
      <c r="K11" s="18">
        <f>IF('Zaman'!K9&gt;0,-('Borc'!K14/'Zaman'!K11-'Borc'!K22),0)</f>
        <v/>
      </c>
      <c r="L11" s="18">
        <f>IF('Zaman'!L9&gt;0,-('Borc'!L14/'Zaman'!L11-'Borc'!L22),0)</f>
        <v/>
      </c>
      <c r="M11" s="18">
        <f>IF('Zaman'!M9&gt;0,-('Borc'!M14/'Zaman'!M11-'Borc'!M22),0)</f>
        <v/>
      </c>
      <c r="N11" s="18">
        <f>IF('Zaman'!N9&gt;0,-('Borc'!N14/'Zaman'!N11-'Borc'!N22),0)</f>
        <v/>
      </c>
      <c r="O11" s="18">
        <f>IF('Zaman'!O9&gt;0,-('Borc'!O14/'Zaman'!O11-'Borc'!O22),0)</f>
        <v/>
      </c>
      <c r="P11" s="18">
        <f>IF('Zaman'!P9&gt;0,-('Borc'!P14/'Zaman'!P11-'Borc'!P22),0)</f>
        <v/>
      </c>
      <c r="Q11" s="18">
        <f>IF('Zaman'!Q9&gt;0,-('Borc'!Q14/'Zaman'!Q11-'Borc'!Q22),0)</f>
        <v/>
      </c>
      <c r="R11" s="18">
        <f>IF('Zaman'!R9&gt;0,-('Borc'!R14/'Zaman'!R11-'Borc'!R22),0)</f>
        <v/>
      </c>
      <c r="S11" s="18">
        <f>IF('Zaman'!S9&gt;0,-('Borc'!S14/'Zaman'!S11-'Borc'!S22),0)</f>
        <v/>
      </c>
      <c r="T11" s="18">
        <f>IF('Zaman'!T9&gt;0,-('Borc'!T14/'Zaman'!T11-'Borc'!T22),0)</f>
        <v/>
      </c>
      <c r="U11" s="18">
        <f>IF('Zaman'!U9&gt;0,-('Borc'!U14/'Zaman'!U11-'Borc'!U22),0)</f>
        <v/>
      </c>
      <c r="V11" s="18">
        <f>IF('Zaman'!V9&gt;0,-('Borc'!V14/'Zaman'!V11-'Borc'!V22),0)</f>
        <v/>
      </c>
      <c r="W11" s="18">
        <f>IF('Zaman'!W9&gt;0,-('Borc'!W14/'Zaman'!W11-'Borc'!W22),0)</f>
        <v/>
      </c>
      <c r="X11" s="18">
        <f>IF('Zaman'!X9&gt;0,-('Borc'!X14/'Zaman'!X11-'Borc'!X22),0)</f>
        <v/>
      </c>
      <c r="Y11" s="18">
        <f>IF('Zaman'!Y9&gt;0,-('Borc'!Y14/'Zaman'!Y11-'Borc'!Y22),0)</f>
        <v/>
      </c>
      <c r="Z11" s="18">
        <f>IF('Zaman'!Z9&gt;0,-('Borc'!Z14/'Zaman'!Z11-'Borc'!Z22),0)</f>
        <v/>
      </c>
      <c r="AA11" s="18">
        <f>IF('Zaman'!AA9&gt;0,-('Borc'!AA14/'Zaman'!AA11-'Borc'!AA22),0)</f>
        <v/>
      </c>
      <c r="AB11" s="18">
        <f>IF('Zaman'!AB9&gt;0,-('Borc'!AB14/'Zaman'!AB11-'Borc'!AB22),0)</f>
        <v/>
      </c>
      <c r="AC11" s="18">
        <f>IF('Zaman'!AC9&gt;0,-('Borc'!AC14/'Zaman'!AC11-'Borc'!AC22),0)</f>
        <v/>
      </c>
      <c r="AD11" s="18">
        <f>IF('Zaman'!AD9&gt;0,-('Borc'!AD14/'Zaman'!AD11-'Borc'!AD22),0)</f>
        <v/>
      </c>
      <c r="AE11" s="18">
        <f>IF('Zaman'!AE9&gt;0,-('Borc'!AE14/'Zaman'!AE11-'Borc'!AE22),0)</f>
        <v/>
      </c>
      <c r="AF11" s="18">
        <f>IF('Zaman'!AF9&gt;0,-('Borc'!AF14/'Zaman'!AF11-'Borc'!AF22),0)</f>
        <v/>
      </c>
      <c r="AG11" s="18">
        <f>IF('Zaman'!AG9&gt;0,-('Borc'!AG14/'Zaman'!AG11-'Borc'!AG22),0)</f>
        <v/>
      </c>
      <c r="AH11" s="18">
        <f>IF('Zaman'!AH9&gt;0,-('Borc'!AH14/'Zaman'!AH11-'Borc'!AH22),0)</f>
        <v/>
      </c>
      <c r="AI11" s="18">
        <f>IF('Zaman'!AI9&gt;0,-('Borc'!AI14/'Zaman'!AI11-'Borc'!AI22),0)</f>
        <v/>
      </c>
      <c r="AJ11" s="18">
        <f>IF('Zaman'!AJ9&gt;0,-('Borc'!AJ14/'Zaman'!AJ11-'Borc'!AJ22),0)</f>
        <v/>
      </c>
      <c r="AK11" s="18">
        <f>IF('Zaman'!AK9&gt;0,-('Borc'!AK14/'Zaman'!AK11-'Borc'!AK22),0)</f>
        <v/>
      </c>
      <c r="AL11" s="18">
        <f>IF('Zaman'!AL9&gt;0,-('Borc'!AL14/'Zaman'!AL11-'Borc'!AL22),0)</f>
        <v/>
      </c>
      <c r="AM11" s="18">
        <f>IF('Zaman'!AM9&gt;0,-('Borc'!AM14/'Zaman'!AM11-'Borc'!AM22),0)</f>
        <v/>
      </c>
      <c r="AN11" s="18">
        <f>IF('Zaman'!AN9&gt;0,-('Borc'!AN14/'Zaman'!AN11-'Borc'!AN22),0)</f>
        <v/>
      </c>
      <c r="AO11" s="18">
        <f>IF('Zaman'!AO9&gt;0,-('Borc'!AO14/'Zaman'!AO11-'Borc'!AO22),0)</f>
        <v/>
      </c>
      <c r="AP11" s="18">
        <f>IF('Zaman'!AP9&gt;0,-('Borc'!AP14/'Zaman'!AP11-'Borc'!AP22),0)</f>
        <v/>
      </c>
      <c r="AQ11" s="18">
        <f>IF('Zaman'!AQ9&gt;0,-('Borc'!AQ14/'Zaman'!AQ11-'Borc'!AQ22),0)</f>
        <v/>
      </c>
      <c r="AR11" s="18">
        <f>IF('Zaman'!AR9&gt;0,-('Borc'!AR14/'Zaman'!AR11-'Borc'!AR22),0)</f>
        <v/>
      </c>
    </row>
    <row r="12">
      <c r="A12" t="inlineStr">
        <is>
          <t>Öz kaynak nakit akışı</t>
        </is>
      </c>
      <c r="B12" t="inlineStr">
        <is>
          <t>USD</t>
        </is>
      </c>
      <c r="C12" t="inlineStr"/>
      <c r="D12" s="18">
        <f>SUM(F12:AR12)</f>
        <v/>
      </c>
      <c r="E12" s="18">
        <f>-Girdiler!$C$11</f>
        <v/>
      </c>
      <c r="F12" s="18">
        <f>'Nakit_akisi'!F9+'Nakit_akisi'!F10+'Nakit_akisi'!F11</f>
        <v/>
      </c>
      <c r="G12" s="18">
        <f>'Nakit_akisi'!G9+'Nakit_akisi'!G10+'Nakit_akisi'!G11</f>
        <v/>
      </c>
      <c r="H12" s="18">
        <f>'Nakit_akisi'!H9+'Nakit_akisi'!H10+'Nakit_akisi'!H11</f>
        <v/>
      </c>
      <c r="I12" s="18">
        <f>'Nakit_akisi'!I9+'Nakit_akisi'!I10+'Nakit_akisi'!I11</f>
        <v/>
      </c>
      <c r="J12" s="18">
        <f>'Nakit_akisi'!J9+'Nakit_akisi'!J10+'Nakit_akisi'!J11</f>
        <v/>
      </c>
      <c r="K12" s="18">
        <f>'Nakit_akisi'!K9+'Nakit_akisi'!K10+'Nakit_akisi'!K11</f>
        <v/>
      </c>
      <c r="L12" s="18">
        <f>'Nakit_akisi'!L9+'Nakit_akisi'!L10+'Nakit_akisi'!L11</f>
        <v/>
      </c>
      <c r="M12" s="18">
        <f>'Nakit_akisi'!M9+'Nakit_akisi'!M10+'Nakit_akisi'!M11</f>
        <v/>
      </c>
      <c r="N12" s="18">
        <f>'Nakit_akisi'!N9+'Nakit_akisi'!N10+'Nakit_akisi'!N11</f>
        <v/>
      </c>
      <c r="O12" s="18">
        <f>'Nakit_akisi'!O9+'Nakit_akisi'!O10+'Nakit_akisi'!O11</f>
        <v/>
      </c>
      <c r="P12" s="18">
        <f>'Nakit_akisi'!P9+'Nakit_akisi'!P10+'Nakit_akisi'!P11</f>
        <v/>
      </c>
      <c r="Q12" s="18">
        <f>'Nakit_akisi'!Q9+'Nakit_akisi'!Q10+'Nakit_akisi'!Q11</f>
        <v/>
      </c>
      <c r="R12" s="18">
        <f>'Nakit_akisi'!R9+'Nakit_akisi'!R10+'Nakit_akisi'!R11</f>
        <v/>
      </c>
      <c r="S12" s="18">
        <f>'Nakit_akisi'!S9+'Nakit_akisi'!S10+'Nakit_akisi'!S11</f>
        <v/>
      </c>
      <c r="T12" s="18">
        <f>'Nakit_akisi'!T9+'Nakit_akisi'!T10+'Nakit_akisi'!T11</f>
        <v/>
      </c>
      <c r="U12" s="18">
        <f>'Nakit_akisi'!U9+'Nakit_akisi'!U10+'Nakit_akisi'!U11</f>
        <v/>
      </c>
      <c r="V12" s="18">
        <f>'Nakit_akisi'!V9+'Nakit_akisi'!V10+'Nakit_akisi'!V11</f>
        <v/>
      </c>
      <c r="W12" s="18">
        <f>'Nakit_akisi'!W9+'Nakit_akisi'!W10+'Nakit_akisi'!W11</f>
        <v/>
      </c>
      <c r="X12" s="18">
        <f>'Nakit_akisi'!X9+'Nakit_akisi'!X10+'Nakit_akisi'!X11</f>
        <v/>
      </c>
      <c r="Y12" s="18">
        <f>'Nakit_akisi'!Y9+'Nakit_akisi'!Y10+'Nakit_akisi'!Y11</f>
        <v/>
      </c>
      <c r="Z12" s="18">
        <f>'Nakit_akisi'!Z9+'Nakit_akisi'!Z10+'Nakit_akisi'!Z11</f>
        <v/>
      </c>
      <c r="AA12" s="18">
        <f>'Nakit_akisi'!AA9+'Nakit_akisi'!AA10+'Nakit_akisi'!AA11</f>
        <v/>
      </c>
      <c r="AB12" s="18">
        <f>'Nakit_akisi'!AB9+'Nakit_akisi'!AB10+'Nakit_akisi'!AB11</f>
        <v/>
      </c>
      <c r="AC12" s="18">
        <f>'Nakit_akisi'!AC9+'Nakit_akisi'!AC10+'Nakit_akisi'!AC11</f>
        <v/>
      </c>
      <c r="AD12" s="18">
        <f>'Nakit_akisi'!AD9+'Nakit_akisi'!AD10+'Nakit_akisi'!AD11</f>
        <v/>
      </c>
      <c r="AE12" s="18">
        <f>'Nakit_akisi'!AE9+'Nakit_akisi'!AE10+'Nakit_akisi'!AE11</f>
        <v/>
      </c>
      <c r="AF12" s="18">
        <f>'Nakit_akisi'!AF9+'Nakit_akisi'!AF10+'Nakit_akisi'!AF11</f>
        <v/>
      </c>
      <c r="AG12" s="18">
        <f>'Nakit_akisi'!AG9+'Nakit_akisi'!AG10+'Nakit_akisi'!AG11</f>
        <v/>
      </c>
      <c r="AH12" s="18">
        <f>'Nakit_akisi'!AH9+'Nakit_akisi'!AH10+'Nakit_akisi'!AH11</f>
        <v/>
      </c>
      <c r="AI12" s="18">
        <f>'Nakit_akisi'!AI9+'Nakit_akisi'!AI10+'Nakit_akisi'!AI11</f>
        <v/>
      </c>
      <c r="AJ12" s="18">
        <f>'Nakit_akisi'!AJ9+'Nakit_akisi'!AJ10+'Nakit_akisi'!AJ11</f>
        <v/>
      </c>
      <c r="AK12" s="18">
        <f>'Nakit_akisi'!AK9+'Nakit_akisi'!AK10+'Nakit_akisi'!AK11</f>
        <v/>
      </c>
      <c r="AL12" s="18">
        <f>'Nakit_akisi'!AL9+'Nakit_akisi'!AL10+'Nakit_akisi'!AL11</f>
        <v/>
      </c>
      <c r="AM12" s="18">
        <f>'Nakit_akisi'!AM9+'Nakit_akisi'!AM10+'Nakit_akisi'!AM11</f>
        <v/>
      </c>
      <c r="AN12" s="18">
        <f>'Nakit_akisi'!AN9+'Nakit_akisi'!AN10+'Nakit_akisi'!AN11</f>
        <v/>
      </c>
      <c r="AO12" s="18">
        <f>'Nakit_akisi'!AO9+'Nakit_akisi'!AO10+'Nakit_akisi'!AO11</f>
        <v/>
      </c>
      <c r="AP12" s="18">
        <f>'Nakit_akisi'!AP9+'Nakit_akisi'!AP10+'Nakit_akisi'!AP11</f>
        <v/>
      </c>
      <c r="AQ12" s="18">
        <f>'Nakit_akisi'!AQ9+'Nakit_akisi'!AQ10+'Nakit_akisi'!AQ11</f>
        <v/>
      </c>
      <c r="AR12" s="18">
        <f>'Nakit_akisi'!AR9+'Nakit_akisi'!AR10+'Nakit_akisi'!AR11</f>
        <v/>
      </c>
    </row>
    <row r="13">
      <c r="A13" t="inlineStr">
        <is>
          <t>Kümülatif proje nakit akışı</t>
        </is>
      </c>
      <c r="B13" t="inlineStr">
        <is>
          <t>USD</t>
        </is>
      </c>
      <c r="C13" t="inlineStr"/>
      <c r="E13" s="18">
        <f>'Nakit_akisi'!E9</f>
        <v/>
      </c>
      <c r="F13" s="18">
        <f>'Nakit_akisi'!E13+'Nakit_akisi'!F9</f>
        <v/>
      </c>
      <c r="G13" s="18">
        <f>'Nakit_akisi'!F13+'Nakit_akisi'!G9</f>
        <v/>
      </c>
      <c r="H13" s="18">
        <f>'Nakit_akisi'!G13+'Nakit_akisi'!H9</f>
        <v/>
      </c>
      <c r="I13" s="18">
        <f>'Nakit_akisi'!H13+'Nakit_akisi'!I9</f>
        <v/>
      </c>
      <c r="J13" s="18">
        <f>'Nakit_akisi'!I13+'Nakit_akisi'!J9</f>
        <v/>
      </c>
      <c r="K13" s="18">
        <f>'Nakit_akisi'!J13+'Nakit_akisi'!K9</f>
        <v/>
      </c>
      <c r="L13" s="18">
        <f>'Nakit_akisi'!K13+'Nakit_akisi'!L9</f>
        <v/>
      </c>
      <c r="M13" s="18">
        <f>'Nakit_akisi'!L13+'Nakit_akisi'!M9</f>
        <v/>
      </c>
      <c r="N13" s="18">
        <f>'Nakit_akisi'!M13+'Nakit_akisi'!N9</f>
        <v/>
      </c>
      <c r="O13" s="18">
        <f>'Nakit_akisi'!N13+'Nakit_akisi'!O9</f>
        <v/>
      </c>
      <c r="P13" s="18">
        <f>'Nakit_akisi'!O13+'Nakit_akisi'!P9</f>
        <v/>
      </c>
      <c r="Q13" s="18">
        <f>'Nakit_akisi'!P13+'Nakit_akisi'!Q9</f>
        <v/>
      </c>
      <c r="R13" s="18">
        <f>'Nakit_akisi'!Q13+'Nakit_akisi'!R9</f>
        <v/>
      </c>
      <c r="S13" s="18">
        <f>'Nakit_akisi'!R13+'Nakit_akisi'!S9</f>
        <v/>
      </c>
      <c r="T13" s="18">
        <f>'Nakit_akisi'!S13+'Nakit_akisi'!T9</f>
        <v/>
      </c>
      <c r="U13" s="18">
        <f>'Nakit_akisi'!T13+'Nakit_akisi'!U9</f>
        <v/>
      </c>
      <c r="V13" s="18">
        <f>'Nakit_akisi'!U13+'Nakit_akisi'!V9</f>
        <v/>
      </c>
      <c r="W13" s="18">
        <f>'Nakit_akisi'!V13+'Nakit_akisi'!W9</f>
        <v/>
      </c>
      <c r="X13" s="18">
        <f>'Nakit_akisi'!W13+'Nakit_akisi'!X9</f>
        <v/>
      </c>
      <c r="Y13" s="18">
        <f>'Nakit_akisi'!X13+'Nakit_akisi'!Y9</f>
        <v/>
      </c>
      <c r="Z13" s="18">
        <f>'Nakit_akisi'!Y13+'Nakit_akisi'!Z9</f>
        <v/>
      </c>
      <c r="AA13" s="18">
        <f>'Nakit_akisi'!Z13+'Nakit_akisi'!AA9</f>
        <v/>
      </c>
      <c r="AB13" s="18">
        <f>'Nakit_akisi'!AA13+'Nakit_akisi'!AB9</f>
        <v/>
      </c>
      <c r="AC13" s="18">
        <f>'Nakit_akisi'!AB13+'Nakit_akisi'!AC9</f>
        <v/>
      </c>
      <c r="AD13" s="18">
        <f>'Nakit_akisi'!AC13+'Nakit_akisi'!AD9</f>
        <v/>
      </c>
      <c r="AE13" s="18">
        <f>'Nakit_akisi'!AD13+'Nakit_akisi'!AE9</f>
        <v/>
      </c>
      <c r="AF13" s="18">
        <f>'Nakit_akisi'!AE13+'Nakit_akisi'!AF9</f>
        <v/>
      </c>
      <c r="AG13" s="18">
        <f>'Nakit_akisi'!AF13+'Nakit_akisi'!AG9</f>
        <v/>
      </c>
      <c r="AH13" s="18">
        <f>'Nakit_akisi'!AG13+'Nakit_akisi'!AH9</f>
        <v/>
      </c>
      <c r="AI13" s="18">
        <f>'Nakit_akisi'!AH13+'Nakit_akisi'!AI9</f>
        <v/>
      </c>
      <c r="AJ13" s="18">
        <f>'Nakit_akisi'!AI13+'Nakit_akisi'!AJ9</f>
        <v/>
      </c>
      <c r="AK13" s="18">
        <f>'Nakit_akisi'!AJ13+'Nakit_akisi'!AK9</f>
        <v/>
      </c>
      <c r="AL13" s="18">
        <f>'Nakit_akisi'!AK13+'Nakit_akisi'!AL9</f>
        <v/>
      </c>
      <c r="AM13" s="18">
        <f>'Nakit_akisi'!AL13+'Nakit_akisi'!AM9</f>
        <v/>
      </c>
      <c r="AN13" s="18">
        <f>'Nakit_akisi'!AM13+'Nakit_akisi'!AN9</f>
        <v/>
      </c>
      <c r="AO13" s="18">
        <f>'Nakit_akisi'!AN13+'Nakit_akisi'!AO9</f>
        <v/>
      </c>
      <c r="AP13" s="18">
        <f>'Nakit_akisi'!AO13+'Nakit_akisi'!AP9</f>
        <v/>
      </c>
      <c r="AQ13" s="18">
        <f>'Nakit_akisi'!AP13+'Nakit_akisi'!AQ9</f>
        <v/>
      </c>
      <c r="AR13" s="18">
        <f>'Nakit_akisi'!AQ13+'Nakit_akisi'!AR9</f>
        <v/>
      </c>
    </row>
    <row r="14">
      <c r="A14" t="inlineStr">
        <is>
          <t>Geri ödendi mi (işletmede kümülatif ≥ 0)</t>
        </is>
      </c>
      <c r="B14" t="inlineStr">
        <is>
          <t>0/1</t>
        </is>
      </c>
      <c r="C14" t="inlineStr"/>
      <c r="E14" s="23" t="n">
        <v>0</v>
      </c>
      <c r="F14" s="23">
        <f>IF(AND('Zaman'!F9&gt;0,'Nakit_akisi'!F13&gt;=0),1,0)</f>
        <v/>
      </c>
      <c r="G14" s="23">
        <f>IF(AND('Zaman'!G9&gt;0,'Nakit_akisi'!G13&gt;=0),1,0)</f>
        <v/>
      </c>
      <c r="H14" s="23">
        <f>IF(AND('Zaman'!H9&gt;0,'Nakit_akisi'!H13&gt;=0),1,0)</f>
        <v/>
      </c>
      <c r="I14" s="23">
        <f>IF(AND('Zaman'!I9&gt;0,'Nakit_akisi'!I13&gt;=0),1,0)</f>
        <v/>
      </c>
      <c r="J14" s="23">
        <f>IF(AND('Zaman'!J9&gt;0,'Nakit_akisi'!J13&gt;=0),1,0)</f>
        <v/>
      </c>
      <c r="K14" s="23">
        <f>IF(AND('Zaman'!K9&gt;0,'Nakit_akisi'!K13&gt;=0),1,0)</f>
        <v/>
      </c>
      <c r="L14" s="23">
        <f>IF(AND('Zaman'!L9&gt;0,'Nakit_akisi'!L13&gt;=0),1,0)</f>
        <v/>
      </c>
      <c r="M14" s="23">
        <f>IF(AND('Zaman'!M9&gt;0,'Nakit_akisi'!M13&gt;=0),1,0)</f>
        <v/>
      </c>
      <c r="N14" s="23">
        <f>IF(AND('Zaman'!N9&gt;0,'Nakit_akisi'!N13&gt;=0),1,0)</f>
        <v/>
      </c>
      <c r="O14" s="23">
        <f>IF(AND('Zaman'!O9&gt;0,'Nakit_akisi'!O13&gt;=0),1,0)</f>
        <v/>
      </c>
      <c r="P14" s="23">
        <f>IF(AND('Zaman'!P9&gt;0,'Nakit_akisi'!P13&gt;=0),1,0)</f>
        <v/>
      </c>
      <c r="Q14" s="23">
        <f>IF(AND('Zaman'!Q9&gt;0,'Nakit_akisi'!Q13&gt;=0),1,0)</f>
        <v/>
      </c>
      <c r="R14" s="23">
        <f>IF(AND('Zaman'!R9&gt;0,'Nakit_akisi'!R13&gt;=0),1,0)</f>
        <v/>
      </c>
      <c r="S14" s="23">
        <f>IF(AND('Zaman'!S9&gt;0,'Nakit_akisi'!S13&gt;=0),1,0)</f>
        <v/>
      </c>
      <c r="T14" s="23">
        <f>IF(AND('Zaman'!T9&gt;0,'Nakit_akisi'!T13&gt;=0),1,0)</f>
        <v/>
      </c>
      <c r="U14" s="23">
        <f>IF(AND('Zaman'!U9&gt;0,'Nakit_akisi'!U13&gt;=0),1,0)</f>
        <v/>
      </c>
      <c r="V14" s="23">
        <f>IF(AND('Zaman'!V9&gt;0,'Nakit_akisi'!V13&gt;=0),1,0)</f>
        <v/>
      </c>
      <c r="W14" s="23">
        <f>IF(AND('Zaman'!W9&gt;0,'Nakit_akisi'!W13&gt;=0),1,0)</f>
        <v/>
      </c>
      <c r="X14" s="23">
        <f>IF(AND('Zaman'!X9&gt;0,'Nakit_akisi'!X13&gt;=0),1,0)</f>
        <v/>
      </c>
      <c r="Y14" s="23">
        <f>IF(AND('Zaman'!Y9&gt;0,'Nakit_akisi'!Y13&gt;=0),1,0)</f>
        <v/>
      </c>
      <c r="Z14" s="23">
        <f>IF(AND('Zaman'!Z9&gt;0,'Nakit_akisi'!Z13&gt;=0),1,0)</f>
        <v/>
      </c>
      <c r="AA14" s="23">
        <f>IF(AND('Zaman'!AA9&gt;0,'Nakit_akisi'!AA13&gt;=0),1,0)</f>
        <v/>
      </c>
      <c r="AB14" s="23">
        <f>IF(AND('Zaman'!AB9&gt;0,'Nakit_akisi'!AB13&gt;=0),1,0)</f>
        <v/>
      </c>
      <c r="AC14" s="23">
        <f>IF(AND('Zaman'!AC9&gt;0,'Nakit_akisi'!AC13&gt;=0),1,0)</f>
        <v/>
      </c>
      <c r="AD14" s="23">
        <f>IF(AND('Zaman'!AD9&gt;0,'Nakit_akisi'!AD13&gt;=0),1,0)</f>
        <v/>
      </c>
      <c r="AE14" s="23">
        <f>IF(AND('Zaman'!AE9&gt;0,'Nakit_akisi'!AE13&gt;=0),1,0)</f>
        <v/>
      </c>
      <c r="AF14" s="23">
        <f>IF(AND('Zaman'!AF9&gt;0,'Nakit_akisi'!AF13&gt;=0),1,0)</f>
        <v/>
      </c>
      <c r="AG14" s="23">
        <f>IF(AND('Zaman'!AG9&gt;0,'Nakit_akisi'!AG13&gt;=0),1,0)</f>
        <v/>
      </c>
      <c r="AH14" s="23">
        <f>IF(AND('Zaman'!AH9&gt;0,'Nakit_akisi'!AH13&gt;=0),1,0)</f>
        <v/>
      </c>
      <c r="AI14" s="23">
        <f>IF(AND('Zaman'!AI9&gt;0,'Nakit_akisi'!AI13&gt;=0),1,0)</f>
        <v/>
      </c>
      <c r="AJ14" s="23">
        <f>IF(AND('Zaman'!AJ9&gt;0,'Nakit_akisi'!AJ13&gt;=0),1,0)</f>
        <v/>
      </c>
      <c r="AK14" s="23">
        <f>IF(AND('Zaman'!AK9&gt;0,'Nakit_akisi'!AK13&gt;=0),1,0)</f>
        <v/>
      </c>
      <c r="AL14" s="23">
        <f>IF(AND('Zaman'!AL9&gt;0,'Nakit_akisi'!AL13&gt;=0),1,0)</f>
        <v/>
      </c>
      <c r="AM14" s="23">
        <f>IF(AND('Zaman'!AM9&gt;0,'Nakit_akisi'!AM13&gt;=0),1,0)</f>
        <v/>
      </c>
      <c r="AN14" s="23">
        <f>IF(AND('Zaman'!AN9&gt;0,'Nakit_akisi'!AN13&gt;=0),1,0)</f>
        <v/>
      </c>
      <c r="AO14" s="23">
        <f>IF(AND('Zaman'!AO9&gt;0,'Nakit_akisi'!AO13&gt;=0),1,0)</f>
        <v/>
      </c>
      <c r="AP14" s="23">
        <f>IF(AND('Zaman'!AP9&gt;0,'Nakit_akisi'!AP13&gt;=0),1,0)</f>
        <v/>
      </c>
      <c r="AQ14" s="23">
        <f>IF(AND('Zaman'!AQ9&gt;0,'Nakit_akisi'!AQ13&gt;=0),1,0)</f>
        <v/>
      </c>
      <c r="AR14" s="23">
        <f>IF(AND('Zaman'!AR9&gt;0,'Nakit_akisi'!AR13&gt;=0),1,0)</f>
        <v/>
      </c>
    </row>
    <row r="15">
      <c r="A15" t="inlineStr">
        <is>
          <t>LCOE maliyeti (gelir − vergi − CFADS)</t>
        </is>
      </c>
      <c r="B15" t="inlineStr">
        <is>
          <t>USD</t>
        </is>
      </c>
      <c r="C15" t="inlineStr"/>
      <c r="D15" s="18">
        <f>SUM(F15:AR15)</f>
        <v/>
      </c>
      <c r="E15" s="18" t="n">
        <v>0</v>
      </c>
      <c r="F15" s="18">
        <f>'Gelir'!F15-Vergi!F44-Vergi!F45</f>
        <v/>
      </c>
      <c r="G15" s="18">
        <f>'Gelir'!G15-Vergi!G44-Vergi!G45</f>
        <v/>
      </c>
      <c r="H15" s="18">
        <f>'Gelir'!H15-Vergi!H44-Vergi!H45</f>
        <v/>
      </c>
      <c r="I15" s="18">
        <f>'Gelir'!I15-Vergi!I44-Vergi!I45</f>
        <v/>
      </c>
      <c r="J15" s="18">
        <f>'Gelir'!J15-Vergi!J44-Vergi!J45</f>
        <v/>
      </c>
      <c r="K15" s="18">
        <f>'Gelir'!K15-Vergi!K44-Vergi!K45</f>
        <v/>
      </c>
      <c r="L15" s="18">
        <f>'Gelir'!L15-Vergi!L44-Vergi!L45</f>
        <v/>
      </c>
      <c r="M15" s="18">
        <f>'Gelir'!M15-Vergi!M44-Vergi!M45</f>
        <v/>
      </c>
      <c r="N15" s="18">
        <f>'Gelir'!N15-Vergi!N44-Vergi!N45</f>
        <v/>
      </c>
      <c r="O15" s="18">
        <f>'Gelir'!O15-Vergi!O44-Vergi!O45</f>
        <v/>
      </c>
      <c r="P15" s="18">
        <f>'Gelir'!P15-Vergi!P44-Vergi!P45</f>
        <v/>
      </c>
      <c r="Q15" s="18">
        <f>'Gelir'!Q15-Vergi!Q44-Vergi!Q45</f>
        <v/>
      </c>
      <c r="R15" s="18">
        <f>'Gelir'!R15-Vergi!R44-Vergi!R45</f>
        <v/>
      </c>
      <c r="S15" s="18">
        <f>'Gelir'!S15-Vergi!S44-Vergi!S45</f>
        <v/>
      </c>
      <c r="T15" s="18">
        <f>'Gelir'!T15-Vergi!T44-Vergi!T45</f>
        <v/>
      </c>
      <c r="U15" s="18">
        <f>'Gelir'!U15-Vergi!U44-Vergi!U45</f>
        <v/>
      </c>
      <c r="V15" s="18">
        <f>'Gelir'!V15-Vergi!V44-Vergi!V45</f>
        <v/>
      </c>
      <c r="W15" s="18">
        <f>'Gelir'!W15-Vergi!W44-Vergi!W45</f>
        <v/>
      </c>
      <c r="X15" s="18">
        <f>'Gelir'!X15-Vergi!X44-Vergi!X45</f>
        <v/>
      </c>
      <c r="Y15" s="18">
        <f>'Gelir'!Y15-Vergi!Y44-Vergi!Y45</f>
        <v/>
      </c>
      <c r="Z15" s="18">
        <f>'Gelir'!Z15-Vergi!Z44-Vergi!Z45</f>
        <v/>
      </c>
      <c r="AA15" s="18">
        <f>'Gelir'!AA15-Vergi!AA44-Vergi!AA45</f>
        <v/>
      </c>
      <c r="AB15" s="18">
        <f>'Gelir'!AB15-Vergi!AB44-Vergi!AB45</f>
        <v/>
      </c>
      <c r="AC15" s="18">
        <f>'Gelir'!AC15-Vergi!AC44-Vergi!AC45</f>
        <v/>
      </c>
      <c r="AD15" s="18">
        <f>'Gelir'!AD15-Vergi!AD44-Vergi!AD45</f>
        <v/>
      </c>
      <c r="AE15" s="18">
        <f>'Gelir'!AE15-Vergi!AE44-Vergi!AE45</f>
        <v/>
      </c>
      <c r="AF15" s="18">
        <f>'Gelir'!AF15-Vergi!AF44-Vergi!AF45</f>
        <v/>
      </c>
      <c r="AG15" s="18">
        <f>'Gelir'!AG15-Vergi!AG44-Vergi!AG45</f>
        <v/>
      </c>
      <c r="AH15" s="18">
        <f>'Gelir'!AH15-Vergi!AH44-Vergi!AH45</f>
        <v/>
      </c>
      <c r="AI15" s="18">
        <f>'Gelir'!AI15-Vergi!AI44-Vergi!AI45</f>
        <v/>
      </c>
      <c r="AJ15" s="18">
        <f>'Gelir'!AJ15-Vergi!AJ44-Vergi!AJ45</f>
        <v/>
      </c>
      <c r="AK15" s="18">
        <f>'Gelir'!AK15-Vergi!AK44-Vergi!AK45</f>
        <v/>
      </c>
      <c r="AL15" s="18">
        <f>'Gelir'!AL15-Vergi!AL44-Vergi!AL45</f>
        <v/>
      </c>
      <c r="AM15" s="18">
        <f>'Gelir'!AM15-Vergi!AM44-Vergi!AM45</f>
        <v/>
      </c>
      <c r="AN15" s="18">
        <f>'Gelir'!AN15-Vergi!AN44-Vergi!AN45</f>
        <v/>
      </c>
      <c r="AO15" s="18">
        <f>'Gelir'!AO15-Vergi!AO44-Vergi!AO45</f>
        <v/>
      </c>
      <c r="AP15" s="18">
        <f>'Gelir'!AP15-Vergi!AP44-Vergi!AP45</f>
        <v/>
      </c>
      <c r="AQ15" s="18">
        <f>'Gelir'!AQ15-Vergi!AQ44-Vergi!AQ45</f>
        <v/>
      </c>
      <c r="AR15" s="18">
        <f>'Gelir'!AR15-Vergi!AR44-Vergi!AR45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70" customWidth="1" min="3" max="3"/>
  </cols>
  <sheetData>
    <row r="1">
      <c r="A1" s="7" t="inlineStr">
        <is>
          <t>Özet — seçilen senaryo</t>
        </is>
      </c>
    </row>
    <row r="2"/>
    <row r="3">
      <c r="A3" t="inlineStr">
        <is>
          <t>Senaryo</t>
        </is>
      </c>
      <c r="B3" s="29">
        <f>Girdiler!$C$21</f>
        <v/>
      </c>
      <c r="C3" t="inlineStr"/>
    </row>
    <row r="4">
      <c r="A4" t="inlineStr">
        <is>
          <t>NPV (edinim primi sonrası) [M USD]</t>
        </is>
      </c>
      <c r="B4" s="24">
        <f>SUMPRODUCT('Nakit_akisi'!$E$9:$AR$9,'Zaman'!$E$10:$AR$10)/1e6</f>
        <v/>
      </c>
      <c r="C4" t="inlineStr">
        <is>
          <t>%7 reel WACC, t = 0 bugün</t>
        </is>
      </c>
    </row>
    <row r="5">
      <c r="A5" t="inlineStr">
        <is>
          <t>Proje IRR (reel)</t>
        </is>
      </c>
      <c r="B5" s="30">
        <f>IFERROR(IRR('Nakit_akisi'!$E$9:$AR$9,0.05),IRR('Nakit_akisi'!$E$9:$AR$9,-0.05))</f>
        <v/>
      </c>
      <c r="C5" t="inlineStr"/>
    </row>
    <row r="6">
      <c r="A6" t="inlineStr">
        <is>
          <t>Öz kaynak IRR (reel)</t>
        </is>
      </c>
      <c r="B6" s="30">
        <f>IFERROR(IRR('Nakit_akisi'!$E$12:$AR$12,0.05),IFERROR(IRR('Nakit_akisi'!$E$12:$AR$12,-0.05),"tanımsız"))</f>
        <v/>
      </c>
      <c r="C6" t="inlineStr">
        <is>
          <t>Kök yoksa 'tanımsız'</t>
        </is>
      </c>
    </row>
    <row r="7">
      <c r="A7" t="inlineStr">
        <is>
          <t>LCOE (satılan enerji) [USD/MWh]</t>
        </is>
      </c>
      <c r="B7" s="24">
        <f>(SUMPRODUCT(-'Nakit_akisi'!$F$6:$AR$6,'Zaman'!$F$12:$AR$12)+SUMPRODUCT('Nakit_akisi'!$F$15:$AR$15,'Zaman'!$F$12:$AR$12))/SUMPRODUCT(Uretim!$F$20:$AR$20,'Zaman'!$F$12:$AR$12)</f>
        <v/>
      </c>
      <c r="C7" t="inlineStr">
        <is>
          <t>Vergi öncesi, inşaat başından iskonto</t>
        </is>
      </c>
    </row>
    <row r="8">
      <c r="A8" t="inlineStr">
        <is>
          <t>Asgari DSCR</t>
        </is>
      </c>
      <c r="B8" s="24">
        <f>MIN('Borc'!$F$18:$AR$18)</f>
        <v/>
      </c>
      <c r="C8" t="inlineStr">
        <is>
          <t>Borç vadesi boyunca</t>
        </is>
      </c>
    </row>
    <row r="9">
      <c r="A9" t="inlineStr">
        <is>
          <t>Ortalama DSCR</t>
        </is>
      </c>
      <c r="B9" s="24">
        <f>AVERAGE('Borc'!$F$18:$AR$18)</f>
        <v/>
      </c>
      <c r="C9" t="inlineStr"/>
    </row>
    <row r="10">
      <c r="A10" t="inlineStr">
        <is>
          <t>Asgari LLCR</t>
        </is>
      </c>
      <c r="B10" s="24">
        <f>MIN('Borc'!$F$21:$AR$21)</f>
        <v/>
      </c>
      <c r="C10" t="inlineStr"/>
    </row>
    <row r="11">
      <c r="A11" t="inlineStr">
        <is>
          <t>Borç (reel) [M USD]</t>
        </is>
      </c>
      <c r="B11" s="24">
        <f>Borc!$D$13/1e6</f>
        <v/>
      </c>
      <c r="C11" t="inlineStr"/>
    </row>
    <row r="12">
      <c r="A12" t="inlineStr">
        <is>
          <t>Geri ödeme süresi (COD'dan, yıl)</t>
        </is>
      </c>
      <c r="B12" s="23">
        <f>IFERROR(INDEX('Zaman'!$F$9:$AR$9,MATCH(1,'Nakit_akisi'!$F$14:$AR$14,0)),"&gt; ömür")</f>
        <v/>
      </c>
      <c r="C12" t="inlineStr">
        <is>
          <t>İskontosuz proje nakit akışı</t>
        </is>
      </c>
    </row>
    <row r="13">
      <c r="A13" t="inlineStr">
        <is>
          <t>Azami edinim primi [M USD]</t>
        </is>
      </c>
      <c r="B13" s="24">
        <f>MAX(B4+Girdiler!$C$11/1e6,0)</f>
        <v/>
      </c>
      <c r="C13" t="inlineStr">
        <is>
          <t>Primsiz NPV (pozitifse)</t>
        </is>
      </c>
    </row>
    <row r="14">
      <c r="A14" t="inlineStr">
        <is>
          <t>YEKDEM'e katılınan yıl sayısı</t>
        </is>
      </c>
      <c r="B14" s="23">
        <f>SUM('Zaman'!$F$15:$AR$15)</f>
        <v/>
      </c>
      <c r="C14" t="inlineStr">
        <is>
          <t>Deterministik fiyatta karar kuralı</t>
        </is>
      </c>
    </row>
    <row r="15"/>
    <row r="16"/>
    <row r="17">
      <c r="A17" s="28" t="inlineStr">
        <is>
          <t>Python Monte Carlo referansı (deterministik model değil; outputs/07/baz_vaka.csv)</t>
        </is>
      </c>
    </row>
    <row r="18">
      <c r="A18" t="inlineStr">
        <is>
          <t>YEKDEM yıllık opsiyonu (nominal) + tüccar</t>
        </is>
      </c>
      <c r="B18" t="n">
        <v>-1.66</v>
      </c>
      <c r="C18" t="inlineStr">
        <is>
          <t>P(NPV&gt;0) %42 · CVaR %5 -28.0 M$ · azami prim 0.00 M$</t>
        </is>
      </c>
    </row>
    <row r="19">
      <c r="A19" t="inlineStr">
        <is>
          <t>YEKDEM yıllık opsiyonu (endeksli) + tüccar</t>
        </is>
      </c>
      <c r="B19" t="n">
        <v>0.43</v>
      </c>
      <c r="C19" t="inlineStr">
        <is>
          <t>P(NPV&gt;0) %46 · CVaR %5 -22.2 M$ · azami prim 0.43 M$</t>
        </is>
      </c>
    </row>
    <row r="20">
      <c r="A20" t="inlineStr">
        <is>
          <t>YEKDEM 10 yıl sabit (nominal)</t>
        </is>
      </c>
      <c r="B20" t="n">
        <v>-12.25</v>
      </c>
      <c r="C20" t="inlineStr">
        <is>
          <t>P(NPV&gt;0) %12 · CVaR %5 -29.7 M$ · azami prim 0.00 M$</t>
        </is>
      </c>
    </row>
    <row r="21">
      <c r="A21" t="inlineStr">
        <is>
          <t>PPA (%70 P90, 12 yıl)</t>
        </is>
      </c>
      <c r="B21" t="n">
        <v>-6.05</v>
      </c>
      <c r="C21" t="inlineStr">
        <is>
          <t>P(NPV&gt;0) %28 · CVaR %5 -26.0 M$ · azami prim 0.00 M$</t>
        </is>
      </c>
    </row>
    <row r="22">
      <c r="A22" t="inlineStr">
        <is>
          <t>Tüccar</t>
        </is>
      </c>
      <c r="B22" t="n">
        <v>-2.11</v>
      </c>
      <c r="C22" t="inlineStr">
        <is>
          <t>P(NPV&gt;0) %42 · CVaR %5 -30.4 M$ · azami prim 0.00 M$</t>
        </is>
      </c>
    </row>
    <row r="23"/>
    <row r="24">
      <c r="A24" s="31" t="inlineStr">
        <is>
          <t>Düzeltilmiş Monte Carlo (sigorta + arazi çift sayımı yok; outputs/07/v1_cift_sayim/baz_vaka.csv)</t>
        </is>
      </c>
    </row>
    <row r="25">
      <c r="A25" t="inlineStr">
        <is>
          <t>YEKDEM yıllık opsiyonu (nominal) + tüccar</t>
        </is>
      </c>
      <c r="B25" t="n">
        <v>0.93</v>
      </c>
      <c r="C25" t="inlineStr">
        <is>
          <t>P(NPV&gt;0) %49 · CVaR %5 -25.1 M$ · azami prim 0.93 M$</t>
        </is>
      </c>
    </row>
    <row r="26">
      <c r="A26" t="inlineStr">
        <is>
          <t>YEKDEM yıllık opsiyonu (endeksli) + tüccar</t>
        </is>
      </c>
      <c r="B26" t="n">
        <v>2.99</v>
      </c>
      <c r="C26" t="inlineStr">
        <is>
          <t>P(NPV&gt;0) %54 · CVaR %5 -19.3 M$ · azami prim 2.99 M$</t>
        </is>
      </c>
    </row>
    <row r="27">
      <c r="A27" t="inlineStr">
        <is>
          <t>YEKDEM 10 yıl sabit (nominal)</t>
        </is>
      </c>
      <c r="B27" t="n">
        <v>-9.550000000000001</v>
      </c>
      <c r="C27" t="inlineStr">
        <is>
          <t>P(NPV&gt;0) %16 · CVaR %5 -26.7 M$ · azami prim 0.00 M$</t>
        </is>
      </c>
    </row>
    <row r="28">
      <c r="A28" t="inlineStr">
        <is>
          <t>PPA (%70 P90, 12 yıl)</t>
        </is>
      </c>
      <c r="B28" t="n">
        <v>-3.41</v>
      </c>
      <c r="C28" t="inlineStr">
        <is>
          <t>P(NPV&gt;0) %35 · CVaR %5 -23.2 M$ · azami prim 0.00 M$</t>
        </is>
      </c>
    </row>
    <row r="29">
      <c r="A29" t="inlineStr">
        <is>
          <t>Tüccar</t>
        </is>
      </c>
      <c r="B29" t="n">
        <v>0.47</v>
      </c>
      <c r="C29" t="inlineStr">
        <is>
          <t>P(NPV&gt;0) %48 · CVaR %5 -27.5 M$ · azami prim 0.47 M$</t>
        </is>
      </c>
    </row>
    <row r="30"/>
    <row r="31">
      <c r="A31" s="28" t="inlineStr">
        <is>
          <t>Deterministik → Monte Carlo köprüsü (outputs/07/fark_ayristirma_sonra.csv)</t>
        </is>
      </c>
    </row>
    <row r="32">
      <c r="A32" t="inlineStr">
        <is>
          <t>Deterministik baz (58 USD/MWh sabit, COD 2030)</t>
        </is>
      </c>
      <c r="B32" t="n">
        <v>-2.37</v>
      </c>
      <c r="C32" t="inlineStr">
        <is>
          <t>—</t>
        </is>
      </c>
    </row>
    <row r="33">
      <c r="A33" t="inlineStr">
        <is>
          <t>Fiyat ortalaması sapması</t>
        </is>
      </c>
      <c r="B33" t="n">
        <v>2.04</v>
      </c>
      <c r="C33" t="inlineStr">
        <is>
          <t>(i)</t>
        </is>
      </c>
    </row>
    <row r="34">
      <c r="A34" t="inlineStr">
        <is>
          <t>Fiyat oynaklığı: batarya (arbitraj + SFK) gelirleri</t>
        </is>
      </c>
      <c r="B34" t="n">
        <v>0</v>
      </c>
      <c r="C34" t="inlineStr">
        <is>
          <t>(iii)</t>
        </is>
      </c>
    </row>
    <row r="35">
      <c r="A35" t="inlineStr">
        <is>
          <t>Fiyat oynaklığı: vergi, mahsup ve diğer satırlar</t>
        </is>
      </c>
      <c r="B35" t="n">
        <v>-0.86</v>
      </c>
      <c r="C35" t="inlineStr">
        <is>
          <t>(iv)</t>
        </is>
      </c>
    </row>
    <row r="36">
      <c r="A36" t="inlineStr">
        <is>
          <t>Kriz yıllarında düzenleyici tavan</t>
        </is>
      </c>
      <c r="B36" t="n">
        <v>-2.04</v>
      </c>
      <c r="C36" t="inlineStr">
        <is>
          <t>(iv)</t>
        </is>
      </c>
    </row>
    <row r="37">
      <c r="A37" t="inlineStr">
        <is>
          <t>YEKDEM yıllık opsiyonu (dışbükeylik)</t>
        </is>
      </c>
      <c r="B37" t="n">
        <v>0.42</v>
      </c>
      <c r="C37" t="inlineStr">
        <is>
          <t>(ii)</t>
        </is>
      </c>
    </row>
    <row r="38">
      <c r="A38" t="inlineStr">
        <is>
          <t>SFK doyum senaryoları (karışım ≠ baz yol)</t>
        </is>
      </c>
      <c r="B38" t="n">
        <v>2.71</v>
      </c>
      <c r="C38" t="inlineStr">
        <is>
          <t>(iii)</t>
        </is>
      </c>
    </row>
    <row r="39">
      <c r="A39" t="inlineStr">
        <is>
          <t>Hava, model hatası, kanibalizasyon, kesinti</t>
        </is>
      </c>
      <c r="B39" t="n">
        <v>-0.87</v>
      </c>
      <c r="C39" t="inlineStr">
        <is>
          <t>(v)</t>
        </is>
      </c>
    </row>
    <row r="40">
      <c r="A40" t="inlineStr">
        <is>
          <t>CAPEX / OPEX / bozunma belirsizliği</t>
        </is>
      </c>
      <c r="B40" t="n">
        <v>-0.9</v>
      </c>
      <c r="C40" t="inlineStr">
        <is>
          <t>(iv)</t>
        </is>
      </c>
    </row>
    <row r="41">
      <c r="A41" t="inlineStr">
        <is>
          <t>Takvim: COD 2030 → 2029-11 (P50)</t>
        </is>
      </c>
      <c r="B41" t="n">
        <v>0.22</v>
      </c>
      <c r="C41" t="inlineStr">
        <is>
          <t>—</t>
        </is>
      </c>
    </row>
    <row r="42">
      <c r="A42" t="inlineStr">
        <is>
          <t>Monte Carlo beklenen NPV (baz vaka)</t>
        </is>
      </c>
      <c r="B42" t="n">
        <v>-1.66</v>
      </c>
      <c r="C42" t="inlineStr">
        <is>
          <t>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0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9" t="inlineStr">
        <is>
          <t>Senaryolar — Python ve Excel (LibreOffice ile yeniden hesaplanmış) sonuçları</t>
        </is>
      </c>
    </row>
    <row r="2">
      <c r="A2" t="inlineStr">
        <is>
          <t>Python: src/risk/degerleme.nakit_akislari aynı deterministik girdilerle. Excel: bu dosya her senaryo için LibreOffice'te yeniden hesaplandı.</t>
        </is>
      </c>
    </row>
    <row r="3"/>
    <row r="4">
      <c r="A4" s="20" t="inlineStr">
        <is>
          <t>Anahtar</t>
        </is>
      </c>
      <c r="B4" s="20" t="inlineStr">
        <is>
          <t>Gelir yapısı</t>
        </is>
      </c>
      <c r="C4" s="20" t="inlineStr">
        <is>
          <t>Fiyat</t>
        </is>
      </c>
      <c r="D4" s="20" t="inlineStr">
        <is>
          <t>Üretim</t>
        </is>
      </c>
      <c r="E4" s="20" t="inlineStr">
        <is>
          <t>Teşvik</t>
        </is>
      </c>
      <c r="F4" s="20" t="inlineStr">
        <is>
          <t>Python NPV [M USD]</t>
        </is>
      </c>
      <c r="G4" s="20" t="inlineStr">
        <is>
          <t>Python proje IRR [%]</t>
        </is>
      </c>
      <c r="H4" s="20" t="inlineStr">
        <is>
          <t>Python öz kaynak IRR [%]</t>
        </is>
      </c>
      <c r="I4" s="20" t="inlineStr">
        <is>
          <t>Python asgari DSCR</t>
        </is>
      </c>
      <c r="J4" s="20" t="inlineStr">
        <is>
          <t>Python LCOE</t>
        </is>
      </c>
      <c r="K4" s="20" t="inlineStr">
        <is>
          <t>Excel NPV [M USD]</t>
        </is>
      </c>
      <c r="L4" s="20" t="inlineStr">
        <is>
          <t>Excel proje IRR [%]</t>
        </is>
      </c>
      <c r="M4" s="20" t="inlineStr">
        <is>
          <t>Excel öz kaynak IRR [%]</t>
        </is>
      </c>
      <c r="N4" s="20" t="inlineStr">
        <is>
          <t>Excel asgari DSCR</t>
        </is>
      </c>
      <c r="O4" s="20" t="inlineStr">
        <is>
          <t>Excel LCOE</t>
        </is>
      </c>
      <c r="P4" s="20" t="inlineStr">
        <is>
          <t>Fark NPV [M USD]</t>
        </is>
      </c>
      <c r="Q4" s="20" t="inlineStr">
        <is>
          <t>Fark proje IRR [puan]</t>
        </is>
      </c>
      <c r="R4" s="20" t="inlineStr">
        <is>
          <t>Fark öz kaynak IRR [puan]</t>
        </is>
      </c>
      <c r="S4" s="20" t="inlineStr">
        <is>
          <t>Durum</t>
        </is>
      </c>
    </row>
    <row r="5">
      <c r="A5" s="29" t="inlineStr">
        <is>
          <t>Tüccar|Düşük|P50|Var</t>
        </is>
      </c>
      <c r="B5" s="29" t="inlineStr">
        <is>
          <t>Tüccar</t>
        </is>
      </c>
      <c r="C5" s="29" t="inlineStr">
        <is>
          <t>Düşük</t>
        </is>
      </c>
      <c r="D5" s="29" t="inlineStr">
        <is>
          <t>P50</t>
        </is>
      </c>
      <c r="E5" s="29" t="inlineStr">
        <is>
          <t>Var</t>
        </is>
      </c>
      <c r="F5" s="25" t="n">
        <v>-21.78845513548093</v>
      </c>
      <c r="G5" s="25" t="n">
        <v>3.057679361486165</v>
      </c>
      <c r="H5" s="25" t="n">
        <v>2.277313919591706</v>
      </c>
      <c r="I5" s="25" t="n">
        <v>1.171140285769588</v>
      </c>
      <c r="J5" s="25" t="n">
        <v>66.77500395835099</v>
      </c>
      <c r="K5" s="25" t="n">
        <v>-21.7884551354809</v>
      </c>
      <c r="L5" s="25" t="n">
        <v>3.05767936148616</v>
      </c>
      <c r="M5" s="25" t="n">
        <v>2.27731391959169</v>
      </c>
      <c r="N5" s="25" t="n">
        <v>1.17114028576959</v>
      </c>
      <c r="O5" s="25" t="n">
        <v>66.77500395835099</v>
      </c>
      <c r="P5" s="21">
        <f>K5-F5</f>
        <v/>
      </c>
      <c r="Q5" s="21">
        <f>L5-G5</f>
        <v/>
      </c>
      <c r="R5" s="21">
        <f>M5-H5</f>
        <v/>
      </c>
      <c r="S5">
        <f>IF(AND(ABS(P5)&lt;0.01,IFERROR(ABS(Q5)&lt;0.01,TRUE),IFERROR(ABS(R5)&lt;0.01,TRUE)),"Mutabık","FARK")</f>
        <v/>
      </c>
    </row>
    <row r="6">
      <c r="A6" s="29" t="inlineStr">
        <is>
          <t>Tüccar|Düşük|P50|Yok</t>
        </is>
      </c>
      <c r="B6" s="29" t="inlineStr">
        <is>
          <t>Tüccar</t>
        </is>
      </c>
      <c r="C6" s="29" t="inlineStr">
        <is>
          <t>Düşük</t>
        </is>
      </c>
      <c r="D6" s="29" t="inlineStr">
        <is>
          <t>P50</t>
        </is>
      </c>
      <c r="E6" s="29" t="inlineStr">
        <is>
          <t>Yok</t>
        </is>
      </c>
      <c r="F6" s="25" t="n">
        <v>-28.12589184496857</v>
      </c>
      <c r="G6" s="25" t="n">
        <v>2.352531646984801</v>
      </c>
      <c r="H6" s="25" t="n">
        <v>1.443799915615929</v>
      </c>
      <c r="I6" s="25" t="n">
        <v>1.171140285769588</v>
      </c>
      <c r="J6" s="25" t="n">
        <v>66.77500395835099</v>
      </c>
      <c r="K6" s="25" t="n">
        <v>-28.1258918449686</v>
      </c>
      <c r="L6" s="25" t="n">
        <v>2.35253164698469</v>
      </c>
      <c r="M6" s="25" t="n">
        <v>1.4437999156159</v>
      </c>
      <c r="N6" s="25" t="n">
        <v>1.17114028576959</v>
      </c>
      <c r="O6" s="25" t="n">
        <v>66.77500395835099</v>
      </c>
      <c r="P6" s="21">
        <f>K6-F6</f>
        <v/>
      </c>
      <c r="Q6" s="21">
        <f>L6-G6</f>
        <v/>
      </c>
      <c r="R6" s="21">
        <f>M6-H6</f>
        <v/>
      </c>
      <c r="S6">
        <f>IF(AND(ABS(P6)&lt;0.01,IFERROR(ABS(Q6)&lt;0.01,TRUE),IFERROR(ABS(R6)&lt;0.01,TRUE)),"Mutabık","FARK")</f>
        <v/>
      </c>
    </row>
    <row r="7">
      <c r="A7" s="29" t="inlineStr">
        <is>
          <t>Tüccar|Düşük|P90|Var</t>
        </is>
      </c>
      <c r="B7" s="29" t="inlineStr">
        <is>
          <t>Tüccar</t>
        </is>
      </c>
      <c r="C7" s="29" t="inlineStr">
        <is>
          <t>Düşük</t>
        </is>
      </c>
      <c r="D7" s="29" t="inlineStr">
        <is>
          <t>P90</t>
        </is>
      </c>
      <c r="E7" s="29" t="inlineStr">
        <is>
          <t>Var</t>
        </is>
      </c>
      <c r="F7" s="25" t="n">
        <v>-24.74231313075767</v>
      </c>
      <c r="G7" s="25" t="n">
        <v>2.447602769816271</v>
      </c>
      <c r="H7" s="25" t="n">
        <v>1.440496562028393</v>
      </c>
      <c r="I7" s="25" t="n">
        <v>1.3</v>
      </c>
      <c r="J7" s="25" t="n">
        <v>70.3698467586709</v>
      </c>
      <c r="K7" s="25" t="n">
        <v>-24.7423131307577</v>
      </c>
      <c r="L7" s="25" t="n">
        <v>2.44760276981624</v>
      </c>
      <c r="M7" s="25" t="n">
        <v>1.44049656202822</v>
      </c>
      <c r="N7" s="25" t="n">
        <v>1.3</v>
      </c>
      <c r="O7" s="25" t="n">
        <v>70.3698467586709</v>
      </c>
      <c r="P7" s="21">
        <f>K7-F7</f>
        <v/>
      </c>
      <c r="Q7" s="21">
        <f>L7-G7</f>
        <v/>
      </c>
      <c r="R7" s="21">
        <f>M7-H7</f>
        <v/>
      </c>
      <c r="S7">
        <f>IF(AND(ABS(P7)&lt;0.01,IFERROR(ABS(Q7)&lt;0.01,TRUE),IFERROR(ABS(R7)&lt;0.01,TRUE)),"Mutabık","FARK")</f>
        <v/>
      </c>
    </row>
    <row r="8">
      <c r="A8" s="29" t="inlineStr">
        <is>
          <t>Tüccar|Düşük|P90|Yok</t>
        </is>
      </c>
      <c r="B8" s="29" t="inlineStr">
        <is>
          <t>Tüccar</t>
        </is>
      </c>
      <c r="C8" s="29" t="inlineStr">
        <is>
          <t>Düşük</t>
        </is>
      </c>
      <c r="D8" s="29" t="inlineStr">
        <is>
          <t>P90</t>
        </is>
      </c>
      <c r="E8" s="29" t="inlineStr">
        <is>
          <t>Yok</t>
        </is>
      </c>
      <c r="F8" s="25" t="n">
        <v>-31.15557262497278</v>
      </c>
      <c r="G8" s="25" t="n">
        <v>1.767103821246307</v>
      </c>
      <c r="H8" s="25" t="n">
        <v>0.6711104909192023</v>
      </c>
      <c r="I8" s="25" t="n">
        <v>1.3</v>
      </c>
      <c r="J8" s="25" t="n">
        <v>70.3698467586709</v>
      </c>
      <c r="K8" s="25" t="n">
        <v>-31.1555726249728</v>
      </c>
      <c r="L8" s="25" t="n">
        <v>1.76710382124631</v>
      </c>
      <c r="M8" s="25" t="n">
        <v>0.6711104909191851</v>
      </c>
      <c r="N8" s="25" t="n">
        <v>1.3</v>
      </c>
      <c r="O8" s="25" t="n">
        <v>70.3698467586709</v>
      </c>
      <c r="P8" s="21">
        <f>K8-F8</f>
        <v/>
      </c>
      <c r="Q8" s="21">
        <f>L8-G8</f>
        <v/>
      </c>
      <c r="R8" s="21">
        <f>M8-H8</f>
        <v/>
      </c>
      <c r="S8">
        <f>IF(AND(ABS(P8)&lt;0.01,IFERROR(ABS(Q8)&lt;0.01,TRUE),IFERROR(ABS(R8)&lt;0.01,TRUE)),"Mutabık","FARK")</f>
        <v/>
      </c>
    </row>
    <row r="9">
      <c r="A9" s="29" t="inlineStr">
        <is>
          <t>Tüccar|Baz|P50|Var</t>
        </is>
      </c>
      <c r="B9" s="29" t="inlineStr">
        <is>
          <t>Tüccar</t>
        </is>
      </c>
      <c r="C9" s="29" t="inlineStr">
        <is>
          <t>Baz</t>
        </is>
      </c>
      <c r="D9" s="29" t="inlineStr">
        <is>
          <t>P50</t>
        </is>
      </c>
      <c r="E9" s="29" t="inlineStr">
        <is>
          <t>Var</t>
        </is>
      </c>
      <c r="F9" s="25" t="n">
        <v>-2.368878071968313</v>
      </c>
      <c r="G9" s="25" t="n">
        <v>6.600845358410867</v>
      </c>
      <c r="H9" s="25" t="n">
        <v>7.913873290153662</v>
      </c>
      <c r="I9" s="25" t="n">
        <v>1.256748454593704</v>
      </c>
      <c r="J9" s="25" t="n">
        <v>67.52187552709843</v>
      </c>
      <c r="K9" s="25" t="n">
        <v>-2.36887807196831</v>
      </c>
      <c r="L9" s="25" t="n">
        <v>6.60084535840708</v>
      </c>
      <c r="M9" s="25" t="n">
        <v>7.91387329015366</v>
      </c>
      <c r="N9" s="25" t="n">
        <v>1.2567484545937</v>
      </c>
      <c r="O9" s="25" t="n">
        <v>67.5218755270984</v>
      </c>
      <c r="P9" s="21">
        <f>K9-F9</f>
        <v/>
      </c>
      <c r="Q9" s="21">
        <f>L9-G9</f>
        <v/>
      </c>
      <c r="R9" s="21">
        <f>M9-H9</f>
        <v/>
      </c>
      <c r="S9">
        <f>IF(AND(ABS(P9)&lt;0.01,IFERROR(ABS(Q9)&lt;0.01,TRUE),IFERROR(ABS(R9)&lt;0.01,TRUE)),"Mutabık","FARK")</f>
        <v/>
      </c>
    </row>
    <row r="10">
      <c r="A10" s="29" t="inlineStr">
        <is>
          <t>Tüccar|Baz|P50|Yok</t>
        </is>
      </c>
      <c r="B10" s="29" t="inlineStr">
        <is>
          <t>Tüccar</t>
        </is>
      </c>
      <c r="C10" s="29" t="inlineStr">
        <is>
          <t>Baz</t>
        </is>
      </c>
      <c r="D10" s="29" t="inlineStr">
        <is>
          <t>P50</t>
        </is>
      </c>
      <c r="E10" s="29" t="inlineStr">
        <is>
          <t>Yok</t>
        </is>
      </c>
      <c r="F10" s="25" t="n">
        <v>-8.25411385511854</v>
      </c>
      <c r="G10" s="25" t="n">
        <v>5.727978083410978</v>
      </c>
      <c r="H10" s="25" t="n">
        <v>6.239337882162543</v>
      </c>
      <c r="I10" s="25" t="n">
        <v>1.256748454593704</v>
      </c>
      <c r="J10" s="25" t="n">
        <v>67.52187552709843</v>
      </c>
      <c r="K10" s="25" t="n">
        <v>-8.25411385511854</v>
      </c>
      <c r="L10" s="25" t="n">
        <v>5.72797808341098</v>
      </c>
      <c r="M10" s="25" t="n">
        <v>6.239337882161951</v>
      </c>
      <c r="N10" s="25" t="n">
        <v>1.2567484545937</v>
      </c>
      <c r="O10" s="25" t="n">
        <v>67.5218755270984</v>
      </c>
      <c r="P10" s="21">
        <f>K10-F10</f>
        <v/>
      </c>
      <c r="Q10" s="21">
        <f>L10-G10</f>
        <v/>
      </c>
      <c r="R10" s="21">
        <f>M10-H10</f>
        <v/>
      </c>
      <c r="S10">
        <f>IF(AND(ABS(P10)&lt;0.01,IFERROR(ABS(Q10)&lt;0.01,TRUE),IFERROR(ABS(R10)&lt;0.01,TRUE)),"Mutabık","FARK")</f>
        <v/>
      </c>
    </row>
    <row r="11">
      <c r="A11" s="29" t="inlineStr">
        <is>
          <t>Tüccar|Baz|P90|Var</t>
        </is>
      </c>
      <c r="B11" s="29" t="inlineStr">
        <is>
          <t>Tüccar</t>
        </is>
      </c>
      <c r="C11" s="29" t="inlineStr">
        <is>
          <t>Baz</t>
        </is>
      </c>
      <c r="D11" s="29" t="inlineStr">
        <is>
          <t>P90</t>
        </is>
      </c>
      <c r="E11" s="29" t="inlineStr">
        <is>
          <t>Var</t>
        </is>
      </c>
      <c r="F11" s="25" t="n">
        <v>-6.182038923602724</v>
      </c>
      <c r="G11" s="25" t="n">
        <v>5.943165003666396</v>
      </c>
      <c r="H11" s="25" t="n">
        <v>6.693235586178348</v>
      </c>
      <c r="I11" s="25" t="n">
        <v>1.3</v>
      </c>
      <c r="J11" s="25" t="n">
        <v>71.1090301096944</v>
      </c>
      <c r="K11" s="25" t="n">
        <v>-6.18203892360271</v>
      </c>
      <c r="L11" s="25" t="n">
        <v>5.943165003666389</v>
      </c>
      <c r="M11" s="25" t="n">
        <v>6.693235586178361</v>
      </c>
      <c r="N11" s="25" t="n">
        <v>1.3</v>
      </c>
      <c r="O11" s="25" t="n">
        <v>71.1090301096944</v>
      </c>
      <c r="P11" s="21">
        <f>K11-F11</f>
        <v/>
      </c>
      <c r="Q11" s="21">
        <f>L11-G11</f>
        <v/>
      </c>
      <c r="R11" s="21">
        <f>M11-H11</f>
        <v/>
      </c>
      <c r="S11">
        <f>IF(AND(ABS(P11)&lt;0.01,IFERROR(ABS(Q11)&lt;0.01,TRUE),IFERROR(ABS(R11)&lt;0.01,TRUE)),"Mutabık","FARK")</f>
        <v/>
      </c>
    </row>
    <row r="12">
      <c r="A12" s="29" t="inlineStr">
        <is>
          <t>Tüccar|Baz|P90|Yok</t>
        </is>
      </c>
      <c r="B12" s="29" t="inlineStr">
        <is>
          <t>Tüccar</t>
        </is>
      </c>
      <c r="C12" s="29" t="inlineStr">
        <is>
          <t>Baz</t>
        </is>
      </c>
      <c r="D12" s="29" t="inlineStr">
        <is>
          <t>P90</t>
        </is>
      </c>
      <c r="E12" s="29" t="inlineStr">
        <is>
          <t>Yok</t>
        </is>
      </c>
      <c r="F12" s="25" t="n">
        <v>-12.15909650592158</v>
      </c>
      <c r="G12" s="25" t="n">
        <v>5.099768602446686</v>
      </c>
      <c r="H12" s="25" t="n">
        <v>5.199157489849238</v>
      </c>
      <c r="I12" s="25" t="n">
        <v>1.3</v>
      </c>
      <c r="J12" s="25" t="n">
        <v>71.1090301096944</v>
      </c>
      <c r="K12" s="25" t="n">
        <v>-12.1590965059216</v>
      </c>
      <c r="L12" s="25" t="n">
        <v>5.0997686024467</v>
      </c>
      <c r="M12" s="25" t="n">
        <v>5.1991574898474</v>
      </c>
      <c r="N12" s="25" t="n">
        <v>1.3</v>
      </c>
      <c r="O12" s="25" t="n">
        <v>71.1090301096944</v>
      </c>
      <c r="P12" s="21">
        <f>K12-F12</f>
        <v/>
      </c>
      <c r="Q12" s="21">
        <f>L12-G12</f>
        <v/>
      </c>
      <c r="R12" s="21">
        <f>M12-H12</f>
        <v/>
      </c>
      <c r="S12">
        <f>IF(AND(ABS(P12)&lt;0.01,IFERROR(ABS(Q12)&lt;0.01,TRUE),IFERROR(ABS(R12)&lt;0.01,TRUE)),"Mutabık","FARK")</f>
        <v/>
      </c>
    </row>
    <row r="13">
      <c r="A13" s="29" t="inlineStr">
        <is>
          <t>Tüccar|Yüksek|P50|Var</t>
        </is>
      </c>
      <c r="B13" s="29" t="inlineStr">
        <is>
          <t>Tüccar</t>
        </is>
      </c>
      <c r="C13" s="29" t="inlineStr">
        <is>
          <t>Yüksek</t>
        </is>
      </c>
      <c r="D13" s="29" t="inlineStr">
        <is>
          <t>P50</t>
        </is>
      </c>
      <c r="E13" s="29" t="inlineStr">
        <is>
          <t>Var</t>
        </is>
      </c>
      <c r="F13" s="25" t="n">
        <v>16.55470332666935</v>
      </c>
      <c r="G13" s="25" t="n">
        <v>9.613791134502526</v>
      </c>
      <c r="H13" s="25" t="n">
        <v>17.28126034569212</v>
      </c>
      <c r="I13" s="25" t="n">
        <v>1.508311219423726</v>
      </c>
      <c r="J13" s="25" t="n">
        <v>68.3261987549803</v>
      </c>
      <c r="K13" s="25" t="n">
        <v>16.5547033266693</v>
      </c>
      <c r="L13" s="25" t="n">
        <v>9.613791134500529</v>
      </c>
      <c r="M13" s="25" t="n">
        <v>17.2812603456921</v>
      </c>
      <c r="N13" s="25" t="n">
        <v>1.50831121942373</v>
      </c>
      <c r="O13" s="25" t="n">
        <v>68.3261987549803</v>
      </c>
      <c r="P13" s="21">
        <f>K13-F13</f>
        <v/>
      </c>
      <c r="Q13" s="21">
        <f>L13-G13</f>
        <v/>
      </c>
      <c r="R13" s="21">
        <f>M13-H13</f>
        <v/>
      </c>
      <c r="S13">
        <f>IF(AND(ABS(P13)&lt;0.01,IFERROR(ABS(Q13)&lt;0.01,TRUE),IFERROR(ABS(R13)&lt;0.01,TRUE)),"Mutabık","FARK")</f>
        <v/>
      </c>
    </row>
    <row r="14">
      <c r="A14" s="29" t="inlineStr">
        <is>
          <t>Tüccar|Yüksek|P50|Yok</t>
        </is>
      </c>
      <c r="B14" s="29" t="inlineStr">
        <is>
          <t>Tüccar</t>
        </is>
      </c>
      <c r="C14" s="29" t="inlineStr">
        <is>
          <t>Yüksek</t>
        </is>
      </c>
      <c r="D14" s="29" t="inlineStr">
        <is>
          <t>P50</t>
        </is>
      </c>
      <c r="E14" s="29" t="inlineStr">
        <is>
          <t>Yok</t>
        </is>
      </c>
      <c r="F14" s="25" t="n">
        <v>11.06543246618468</v>
      </c>
      <c r="G14" s="25" t="n">
        <v>8.601578050490389</v>
      </c>
      <c r="H14" s="25" t="n">
        <v>13.03323851114729</v>
      </c>
      <c r="I14" s="25" t="n">
        <v>1.508311219423726</v>
      </c>
      <c r="J14" s="25" t="n">
        <v>68.3261987549803</v>
      </c>
      <c r="K14" s="25" t="n">
        <v>11.0654324661847</v>
      </c>
      <c r="L14" s="25" t="n">
        <v>8.60157805049039</v>
      </c>
      <c r="M14" s="25" t="n">
        <v>13.033238511147</v>
      </c>
      <c r="N14" s="25" t="n">
        <v>1.50831121942373</v>
      </c>
      <c r="O14" s="25" t="n">
        <v>68.3261987549803</v>
      </c>
      <c r="P14" s="21">
        <f>K14-F14</f>
        <v/>
      </c>
      <c r="Q14" s="21">
        <f>L14-G14</f>
        <v/>
      </c>
      <c r="R14" s="21">
        <f>M14-H14</f>
        <v/>
      </c>
      <c r="S14">
        <f>IF(AND(ABS(P14)&lt;0.01,IFERROR(ABS(Q14)&lt;0.01,TRUE),IFERROR(ABS(R14)&lt;0.01,TRUE)),"Mutabık","FARK")</f>
        <v/>
      </c>
    </row>
    <row r="15">
      <c r="A15" s="29" t="inlineStr">
        <is>
          <t>Tüccar|Yüksek|P90|Var</t>
        </is>
      </c>
      <c r="B15" s="29" t="inlineStr">
        <is>
          <t>Tüccar</t>
        </is>
      </c>
      <c r="C15" s="29" t="inlineStr">
        <is>
          <t>Yüksek</t>
        </is>
      </c>
      <c r="D15" s="29" t="inlineStr">
        <is>
          <t>P90</t>
        </is>
      </c>
      <c r="E15" s="29" t="inlineStr">
        <is>
          <t>Var</t>
        </is>
      </c>
      <c r="F15" s="25" t="n">
        <v>12.28596296874132</v>
      </c>
      <c r="G15" s="25" t="n">
        <v>8.972257375457005</v>
      </c>
      <c r="H15" s="25" t="n">
        <v>15.12963342365344</v>
      </c>
      <c r="I15" s="25" t="n">
        <v>1.442354380454725</v>
      </c>
      <c r="J15" s="25" t="n">
        <v>71.90507371848895</v>
      </c>
      <c r="K15" s="25" t="n">
        <v>12.2859629687413</v>
      </c>
      <c r="L15" s="25" t="n">
        <v>8.972257375456961</v>
      </c>
      <c r="M15" s="25" t="n">
        <v>15.1296334236534</v>
      </c>
      <c r="N15" s="25" t="n">
        <v>1.44235438045473</v>
      </c>
      <c r="O15" s="25" t="n">
        <v>71.90507371848901</v>
      </c>
      <c r="P15" s="21">
        <f>K15-F15</f>
        <v/>
      </c>
      <c r="Q15" s="21">
        <f>L15-G15</f>
        <v/>
      </c>
      <c r="R15" s="21">
        <f>M15-H15</f>
        <v/>
      </c>
      <c r="S15">
        <f>IF(AND(ABS(P15)&lt;0.01,IFERROR(ABS(Q15)&lt;0.01,TRUE),IFERROR(ABS(R15)&lt;0.01,TRUE)),"Mutabık","FARK")</f>
        <v/>
      </c>
    </row>
    <row r="16">
      <c r="A16" s="29" t="inlineStr">
        <is>
          <t>Tüccar|Yüksek|P90|Yok</t>
        </is>
      </c>
      <c r="B16" s="29" t="inlineStr">
        <is>
          <t>Tüccar</t>
        </is>
      </c>
      <c r="C16" s="29" t="inlineStr">
        <is>
          <t>Yüksek</t>
        </is>
      </c>
      <c r="D16" s="29" t="inlineStr">
        <is>
          <t>P90</t>
        </is>
      </c>
      <c r="E16" s="29" t="inlineStr">
        <is>
          <t>Yok</t>
        </is>
      </c>
      <c r="F16" s="25" t="n">
        <v>6.733310428946652</v>
      </c>
      <c r="G16" s="25" t="n">
        <v>7.990444900184002</v>
      </c>
      <c r="H16" s="25" t="n">
        <v>11.47027060218678</v>
      </c>
      <c r="I16" s="25" t="n">
        <v>1.442354380454725</v>
      </c>
      <c r="J16" s="25" t="n">
        <v>71.90507371848895</v>
      </c>
      <c r="K16" s="25" t="n">
        <v>6.73331042894666</v>
      </c>
      <c r="L16" s="25" t="n">
        <v>7.990444900184</v>
      </c>
      <c r="M16" s="25" t="n">
        <v>11.4702706021868</v>
      </c>
      <c r="N16" s="25" t="n">
        <v>1.44235438045473</v>
      </c>
      <c r="O16" s="25" t="n">
        <v>71.90507371848901</v>
      </c>
      <c r="P16" s="21">
        <f>K16-F16</f>
        <v/>
      </c>
      <c r="Q16" s="21">
        <f>L16-G16</f>
        <v/>
      </c>
      <c r="R16" s="21">
        <f>M16-H16</f>
        <v/>
      </c>
      <c r="S16">
        <f>IF(AND(ABS(P16)&lt;0.01,IFERROR(ABS(Q16)&lt;0.01,TRUE),IFERROR(ABS(R16)&lt;0.01,TRUE)),"Mutabık","FARK")</f>
        <v/>
      </c>
    </row>
    <row r="17">
      <c r="A17" s="29" t="inlineStr">
        <is>
          <t>PPA|Düşük|P50|Var</t>
        </is>
      </c>
      <c r="B17" s="29" t="inlineStr">
        <is>
          <t>PPA</t>
        </is>
      </c>
      <c r="C17" s="29" t="inlineStr">
        <is>
          <t>Düşük</t>
        </is>
      </c>
      <c r="D17" s="29" t="inlineStr">
        <is>
          <t>P50</t>
        </is>
      </c>
      <c r="E17" s="29" t="inlineStr">
        <is>
          <t>Var</t>
        </is>
      </c>
      <c r="F17" s="25" t="n">
        <v>-19.08218492444191</v>
      </c>
      <c r="G17" s="25" t="n">
        <v>3.500307101635725</v>
      </c>
      <c r="H17" s="25" t="n">
        <v>2.597283694909469</v>
      </c>
      <c r="I17" s="25" t="n">
        <v>1.264828673838811</v>
      </c>
      <c r="J17" s="25" t="n">
        <v>65.97924982279423</v>
      </c>
      <c r="K17" s="25" t="n">
        <v>-19.0821849244419</v>
      </c>
      <c r="L17" s="25" t="n">
        <v>3.50030710163572</v>
      </c>
      <c r="M17" s="25" t="n">
        <v>2.59728369490873</v>
      </c>
      <c r="N17" s="25" t="n">
        <v>1.26482867383881</v>
      </c>
      <c r="O17" s="25" t="n">
        <v>65.9792498227942</v>
      </c>
      <c r="P17" s="21">
        <f>K17-F17</f>
        <v/>
      </c>
      <c r="Q17" s="21">
        <f>L17-G17</f>
        <v/>
      </c>
      <c r="R17" s="21">
        <f>M17-H17</f>
        <v/>
      </c>
      <c r="S17">
        <f>IF(AND(ABS(P17)&lt;0.01,IFERROR(ABS(Q17)&lt;0.01,TRUE),IFERROR(ABS(R17)&lt;0.01,TRUE)),"Mutabık","FARK")</f>
        <v/>
      </c>
    </row>
    <row r="18">
      <c r="A18" s="29" t="inlineStr">
        <is>
          <t>PPA|Düşük|P50|Yok</t>
        </is>
      </c>
      <c r="B18" s="29" t="inlineStr">
        <is>
          <t>PPA</t>
        </is>
      </c>
      <c r="C18" s="29" t="inlineStr">
        <is>
          <t>Düşük</t>
        </is>
      </c>
      <c r="D18" s="29" t="inlineStr">
        <is>
          <t>P50</t>
        </is>
      </c>
      <c r="E18" s="29" t="inlineStr">
        <is>
          <t>Yok</t>
        </is>
      </c>
      <c r="F18" s="25" t="n">
        <v>-25.36578321613103</v>
      </c>
      <c r="G18" s="25" t="n">
        <v>2.755520062678662</v>
      </c>
      <c r="H18" s="25" t="n">
        <v>1.6096452331814</v>
      </c>
      <c r="I18" s="25" t="n">
        <v>1.264828673838811</v>
      </c>
      <c r="J18" s="25" t="n">
        <v>65.97924982279423</v>
      </c>
      <c r="K18" s="25" t="n">
        <v>-25.365783216131</v>
      </c>
      <c r="L18" s="25" t="n">
        <v>2.75552006267867</v>
      </c>
      <c r="M18" s="25" t="n">
        <v>1.6096452331814</v>
      </c>
      <c r="N18" s="25" t="n">
        <v>1.26482867383881</v>
      </c>
      <c r="O18" s="25" t="n">
        <v>65.9792498227942</v>
      </c>
      <c r="P18" s="21">
        <f>K18-F18</f>
        <v/>
      </c>
      <c r="Q18" s="21">
        <f>L18-G18</f>
        <v/>
      </c>
      <c r="R18" s="21">
        <f>M18-H18</f>
        <v/>
      </c>
      <c r="S18">
        <f>IF(AND(ABS(P18)&lt;0.01,IFERROR(ABS(Q18)&lt;0.01,TRUE),IFERROR(ABS(R18)&lt;0.01,TRUE)),"Mutabık","FARK")</f>
        <v/>
      </c>
    </row>
    <row r="19">
      <c r="A19" s="29" t="inlineStr">
        <is>
          <t>PPA|Düşük|P90|Var</t>
        </is>
      </c>
      <c r="B19" s="29" t="inlineStr">
        <is>
          <t>PPA</t>
        </is>
      </c>
      <c r="C19" s="29" t="inlineStr">
        <is>
          <t>Düşük</t>
        </is>
      </c>
      <c r="D19" s="29" t="inlineStr">
        <is>
          <t>P90</t>
        </is>
      </c>
      <c r="E19" s="29" t="inlineStr">
        <is>
          <t>Var</t>
        </is>
      </c>
      <c r="F19" s="25" t="n">
        <v>-22.38499696240991</v>
      </c>
      <c r="G19" s="25" t="n">
        <v>2.831233926220056</v>
      </c>
      <c r="H19" s="25" t="n">
        <v>1.506851491215422</v>
      </c>
      <c r="I19" s="25" t="n">
        <v>1.207370821364514</v>
      </c>
      <c r="J19" s="25" t="n">
        <v>69.57987890751743</v>
      </c>
      <c r="K19" s="25" t="n">
        <v>-22.3849969624099</v>
      </c>
      <c r="L19" s="25" t="n">
        <v>2.83123392622005</v>
      </c>
      <c r="M19" s="25" t="n">
        <v>1.50685149121513</v>
      </c>
      <c r="N19" s="25" t="n">
        <v>1.20737082136451</v>
      </c>
      <c r="O19" s="25" t="n">
        <v>69.5798789075174</v>
      </c>
      <c r="P19" s="21">
        <f>K19-F19</f>
        <v/>
      </c>
      <c r="Q19" s="21">
        <f>L19-G19</f>
        <v/>
      </c>
      <c r="R19" s="21">
        <f>M19-H19</f>
        <v/>
      </c>
      <c r="S19">
        <f>IF(AND(ABS(P19)&lt;0.01,IFERROR(ABS(Q19)&lt;0.01,TRUE),IFERROR(ABS(R19)&lt;0.01,TRUE)),"Mutabık","FARK")</f>
        <v/>
      </c>
    </row>
    <row r="20">
      <c r="A20" s="29" t="inlineStr">
        <is>
          <t>PPA|Düşük|P90|Yok</t>
        </is>
      </c>
      <c r="B20" s="29" t="inlineStr">
        <is>
          <t>PPA</t>
        </is>
      </c>
      <c r="C20" s="29" t="inlineStr">
        <is>
          <t>Düşük</t>
        </is>
      </c>
      <c r="D20" s="29" t="inlineStr">
        <is>
          <t>P90</t>
        </is>
      </c>
      <c r="E20" s="29" t="inlineStr">
        <is>
          <t>Yok</t>
        </is>
      </c>
      <c r="F20" s="25" t="n">
        <v>-28.74948050180581</v>
      </c>
      <c r="G20" s="25" t="n">
        <v>2.11664759456297</v>
      </c>
      <c r="H20" s="25" t="n">
        <v>0.6302891606997041</v>
      </c>
      <c r="I20" s="25" t="n">
        <v>1.207370821364514</v>
      </c>
      <c r="J20" s="25" t="n">
        <v>69.57987890751743</v>
      </c>
      <c r="K20" s="25" t="n">
        <v>-28.7494805018058</v>
      </c>
      <c r="L20" s="25" t="n">
        <v>2.11664759456125</v>
      </c>
      <c r="M20" s="25" t="n">
        <v>0.630289160699655</v>
      </c>
      <c r="N20" s="25" t="n">
        <v>1.20737082136451</v>
      </c>
      <c r="O20" s="25" t="n">
        <v>69.5798789075174</v>
      </c>
      <c r="P20" s="21">
        <f>K20-F20</f>
        <v/>
      </c>
      <c r="Q20" s="21">
        <f>L20-G20</f>
        <v/>
      </c>
      <c r="R20" s="21">
        <f>M20-H20</f>
        <v/>
      </c>
      <c r="S20">
        <f>IF(AND(ABS(P20)&lt;0.01,IFERROR(ABS(Q20)&lt;0.01,TRUE),IFERROR(ABS(R20)&lt;0.01,TRUE)),"Mutabık","FARK")</f>
        <v/>
      </c>
    </row>
    <row r="21">
      <c r="A21" s="29" t="inlineStr">
        <is>
          <t>PPA|Baz|P50|Var</t>
        </is>
      </c>
      <c r="B21" s="29" t="inlineStr">
        <is>
          <t>PPA</t>
        </is>
      </c>
      <c r="C21" s="29" t="inlineStr">
        <is>
          <t>Baz</t>
        </is>
      </c>
      <c r="D21" s="29" t="inlineStr">
        <is>
          <t>P50</t>
        </is>
      </c>
      <c r="E21" s="29" t="inlineStr">
        <is>
          <t>Var</t>
        </is>
      </c>
      <c r="F21" s="25" t="n">
        <v>-7.135365638876507</v>
      </c>
      <c r="G21" s="25" t="n">
        <v>5.822648985096535</v>
      </c>
      <c r="H21" s="25" t="n">
        <v>6.69812847086112</v>
      </c>
      <c r="I21" s="25" t="n">
        <v>1.152015876937065</v>
      </c>
      <c r="J21" s="25" t="n">
        <v>66.40186456128366</v>
      </c>
      <c r="K21" s="25" t="n">
        <v>-7.13536563887649</v>
      </c>
      <c r="L21" s="25" t="n">
        <v>5.82264898509652</v>
      </c>
      <c r="M21" s="25" t="n">
        <v>6.698128470861111</v>
      </c>
      <c r="N21" s="25" t="n">
        <v>1.15201587693706</v>
      </c>
      <c r="O21" s="25" t="n">
        <v>66.4018645612837</v>
      </c>
      <c r="P21" s="21">
        <f>K21-F21</f>
        <v/>
      </c>
      <c r="Q21" s="21">
        <f>L21-G21</f>
        <v/>
      </c>
      <c r="R21" s="21">
        <f>M21-H21</f>
        <v/>
      </c>
      <c r="S21">
        <f>IF(AND(ABS(P21)&lt;0.01,IFERROR(ABS(Q21)&lt;0.01,TRUE),IFERROR(ABS(R21)&lt;0.01,TRUE)),"Mutabık","FARK")</f>
        <v/>
      </c>
    </row>
    <row r="22">
      <c r="A22" s="29" t="inlineStr">
        <is>
          <t>PPA|Baz|P50|Yok</t>
        </is>
      </c>
      <c r="B22" s="29" t="inlineStr">
        <is>
          <t>PPA</t>
        </is>
      </c>
      <c r="C22" s="29" t="inlineStr">
        <is>
          <t>Baz</t>
        </is>
      </c>
      <c r="D22" s="29" t="inlineStr">
        <is>
          <t>P50</t>
        </is>
      </c>
      <c r="E22" s="29" t="inlineStr">
        <is>
          <t>Yok</t>
        </is>
      </c>
      <c r="F22" s="25" t="n">
        <v>-13.22283638964171</v>
      </c>
      <c r="G22" s="25" t="n">
        <v>5.004519672285312</v>
      </c>
      <c r="H22" s="25" t="n">
        <v>5.101614007113097</v>
      </c>
      <c r="I22" s="25" t="n">
        <v>1.152015876937065</v>
      </c>
      <c r="J22" s="25" t="n">
        <v>66.40186456128366</v>
      </c>
      <c r="K22" s="25" t="n">
        <v>-13.2228363896417</v>
      </c>
      <c r="L22" s="25" t="n">
        <v>5.00451967228462</v>
      </c>
      <c r="M22" s="25" t="n">
        <v>5.1016140071131</v>
      </c>
      <c r="N22" s="25" t="n">
        <v>1.15201587693706</v>
      </c>
      <c r="O22" s="25" t="n">
        <v>66.4018645612837</v>
      </c>
      <c r="P22" s="21">
        <f>K22-F22</f>
        <v/>
      </c>
      <c r="Q22" s="21">
        <f>L22-G22</f>
        <v/>
      </c>
      <c r="R22" s="21">
        <f>M22-H22</f>
        <v/>
      </c>
      <c r="S22">
        <f>IF(AND(ABS(P22)&lt;0.01,IFERROR(ABS(Q22)&lt;0.01,TRUE),IFERROR(ABS(R22)&lt;0.01,TRUE)),"Mutabık","FARK")</f>
        <v/>
      </c>
    </row>
    <row r="23">
      <c r="A23" s="29" t="inlineStr">
        <is>
          <t>PPA|Baz|P90|Var</t>
        </is>
      </c>
      <c r="B23" s="29" t="inlineStr">
        <is>
          <t>PPA</t>
        </is>
      </c>
      <c r="C23" s="29" t="inlineStr">
        <is>
          <t>Baz</t>
        </is>
      </c>
      <c r="D23" s="29" t="inlineStr">
        <is>
          <t>P90</t>
        </is>
      </c>
      <c r="E23" s="29" t="inlineStr">
        <is>
          <t>Var</t>
        </is>
      </c>
      <c r="F23" s="25" t="n">
        <v>-10.88252345071543</v>
      </c>
      <c r="G23" s="25" t="n">
        <v>5.178793183166974</v>
      </c>
      <c r="H23" s="25" t="n">
        <v>5.439287179790064</v>
      </c>
      <c r="I23" s="25" t="n">
        <v>1.221433375787042</v>
      </c>
      <c r="J23" s="25" t="n">
        <v>69.99741999499382</v>
      </c>
      <c r="K23" s="25" t="n">
        <v>-10.8825234507154</v>
      </c>
      <c r="L23" s="25" t="n">
        <v>5.17879318316666</v>
      </c>
      <c r="M23" s="25" t="n">
        <v>5.43928717979006</v>
      </c>
      <c r="N23" s="25" t="n">
        <v>1.22143337578704</v>
      </c>
      <c r="O23" s="25" t="n">
        <v>69.99741999499381</v>
      </c>
      <c r="P23" s="21">
        <f>K23-F23</f>
        <v/>
      </c>
      <c r="Q23" s="21">
        <f>L23-G23</f>
        <v/>
      </c>
      <c r="R23" s="21">
        <f>M23-H23</f>
        <v/>
      </c>
      <c r="S23">
        <f>IF(AND(ABS(P23)&lt;0.01,IFERROR(ABS(Q23)&lt;0.01,TRUE),IFERROR(ABS(R23)&lt;0.01,TRUE)),"Mutabık","FARK")</f>
        <v/>
      </c>
    </row>
    <row r="24">
      <c r="A24" s="29" t="inlineStr">
        <is>
          <t>PPA|Baz|P90|Yok</t>
        </is>
      </c>
      <c r="B24" s="29" t="inlineStr">
        <is>
          <t>PPA</t>
        </is>
      </c>
      <c r="C24" s="29" t="inlineStr">
        <is>
          <t>Baz</t>
        </is>
      </c>
      <c r="D24" s="29" t="inlineStr">
        <is>
          <t>P90</t>
        </is>
      </c>
      <c r="E24" s="29" t="inlineStr">
        <is>
          <t>Yok</t>
        </is>
      </c>
      <c r="F24" s="25" t="n">
        <v>-17.05674227075673</v>
      </c>
      <c r="G24" s="25" t="n">
        <v>4.390166126917549</v>
      </c>
      <c r="H24" s="25" t="n">
        <v>4.036798681287001</v>
      </c>
      <c r="I24" s="25" t="n">
        <v>1.221433375787042</v>
      </c>
      <c r="J24" s="25" t="n">
        <v>69.99741999499382</v>
      </c>
      <c r="K24" s="25" t="n">
        <v>-17.0567422707567</v>
      </c>
      <c r="L24" s="25" t="n">
        <v>4.39016612691755</v>
      </c>
      <c r="M24" s="25" t="n">
        <v>4.03679868128675</v>
      </c>
      <c r="N24" s="25" t="n">
        <v>1.22143337578704</v>
      </c>
      <c r="O24" s="25" t="n">
        <v>69.99741999499381</v>
      </c>
      <c r="P24" s="21">
        <f>K24-F24</f>
        <v/>
      </c>
      <c r="Q24" s="21">
        <f>L24-G24</f>
        <v/>
      </c>
      <c r="R24" s="21">
        <f>M24-H24</f>
        <v/>
      </c>
      <c r="S24">
        <f>IF(AND(ABS(P24)&lt;0.01,IFERROR(ABS(Q24)&lt;0.01,TRUE),IFERROR(ABS(R24)&lt;0.01,TRUE)),"Mutabık","FARK")</f>
        <v/>
      </c>
    </row>
    <row r="25">
      <c r="A25" s="29" t="inlineStr">
        <is>
          <t>PPA|Yüksek|P50|Var</t>
        </is>
      </c>
      <c r="B25" s="29" t="inlineStr">
        <is>
          <t>PPA</t>
        </is>
      </c>
      <c r="C25" s="29" t="inlineStr">
        <is>
          <t>Yüksek</t>
        </is>
      </c>
      <c r="D25" s="29" t="inlineStr">
        <is>
          <t>P50</t>
        </is>
      </c>
      <c r="E25" s="29" t="inlineStr">
        <is>
          <t>Var</t>
        </is>
      </c>
      <c r="F25" s="25" t="n">
        <v>5.682110721326027</v>
      </c>
      <c r="G25" s="25" t="n">
        <v>7.863873833834701</v>
      </c>
      <c r="H25" s="25" t="n">
        <v>11.86868463216183</v>
      </c>
      <c r="I25" s="25" t="n">
        <v>1.264920719042333</v>
      </c>
      <c r="J25" s="25" t="n">
        <v>66.85698812581074</v>
      </c>
      <c r="K25" s="25" t="n">
        <v>5.68211072132603</v>
      </c>
      <c r="L25" s="25" t="n">
        <v>7.863873833834701</v>
      </c>
      <c r="M25" s="25" t="n">
        <v>11.8686846321618</v>
      </c>
      <c r="N25" s="25" t="n">
        <v>1.26492071904233</v>
      </c>
      <c r="O25" s="25" t="n">
        <v>66.8569881258107</v>
      </c>
      <c r="P25" s="21">
        <f>K25-F25</f>
        <v/>
      </c>
      <c r="Q25" s="21">
        <f>L25-G25</f>
        <v/>
      </c>
      <c r="R25" s="21">
        <f>M25-H25</f>
        <v/>
      </c>
      <c r="S25">
        <f>IF(AND(ABS(P25)&lt;0.01,IFERROR(ABS(Q25)&lt;0.01,TRUE),IFERROR(ABS(R25)&lt;0.01,TRUE)),"Mutabık","FARK")</f>
        <v/>
      </c>
    </row>
    <row r="26">
      <c r="A26" s="29" t="inlineStr">
        <is>
          <t>PPA|Yüksek|P50|Yok</t>
        </is>
      </c>
      <c r="B26" s="29" t="inlineStr">
        <is>
          <t>PPA</t>
        </is>
      </c>
      <c r="C26" s="29" t="inlineStr">
        <is>
          <t>Yüksek</t>
        </is>
      </c>
      <c r="D26" s="29" t="inlineStr">
        <is>
          <t>P50</t>
        </is>
      </c>
      <c r="E26" s="29" t="inlineStr">
        <is>
          <t>Yok</t>
        </is>
      </c>
      <c r="F26" s="25" t="n">
        <v>-0.1941457545980494</v>
      </c>
      <c r="G26" s="25" t="n">
        <v>6.972951280111317</v>
      </c>
      <c r="H26" s="25" t="n">
        <v>9.057801862258874</v>
      </c>
      <c r="I26" s="25" t="n">
        <v>1.264920719042333</v>
      </c>
      <c r="J26" s="25" t="n">
        <v>66.85698812581074</v>
      </c>
      <c r="K26" s="25" t="n">
        <v>-0.194145754598052</v>
      </c>
      <c r="L26" s="25" t="n">
        <v>6.97295128011132</v>
      </c>
      <c r="M26" s="25" t="n">
        <v>9.05780186225315</v>
      </c>
      <c r="N26" s="25" t="n">
        <v>1.26492071904233</v>
      </c>
      <c r="O26" s="25" t="n">
        <v>66.8569881258107</v>
      </c>
      <c r="P26" s="21">
        <f>K26-F26</f>
        <v/>
      </c>
      <c r="Q26" s="21">
        <f>L26-G26</f>
        <v/>
      </c>
      <c r="R26" s="21">
        <f>M26-H26</f>
        <v/>
      </c>
      <c r="S26">
        <f>IF(AND(ABS(P26)&lt;0.01,IFERROR(ABS(Q26)&lt;0.01,TRUE),IFERROR(ABS(R26)&lt;0.01,TRUE)),"Mutabık","FARK")</f>
        <v/>
      </c>
    </row>
    <row r="27">
      <c r="A27" s="29" t="inlineStr">
        <is>
          <t>PPA|Yüksek|P90|Var</t>
        </is>
      </c>
      <c r="B27" s="29" t="inlineStr">
        <is>
          <t>PPA</t>
        </is>
      </c>
      <c r="C27" s="29" t="inlineStr">
        <is>
          <t>Yüksek</t>
        </is>
      </c>
      <c r="D27" s="29" t="inlineStr">
        <is>
          <t>P90</t>
        </is>
      </c>
      <c r="E27" s="29" t="inlineStr">
        <is>
          <t>Var</t>
        </is>
      </c>
      <c r="F27" s="25" t="n">
        <v>1.447144354812562</v>
      </c>
      <c r="G27" s="25" t="n">
        <v>7.223035257853693</v>
      </c>
      <c r="H27" s="25" t="n">
        <v>10.24625974333301</v>
      </c>
      <c r="I27" s="25" t="n">
        <v>1.309351827117071</v>
      </c>
      <c r="J27" s="25" t="n">
        <v>70.44707962766073</v>
      </c>
      <c r="K27" s="25" t="n">
        <v>1.44714435481257</v>
      </c>
      <c r="L27" s="25" t="n">
        <v>7.22303525785371</v>
      </c>
      <c r="M27" s="25" t="n">
        <v>10.246259743333</v>
      </c>
      <c r="N27" s="25" t="n">
        <v>1.30935182711707</v>
      </c>
      <c r="O27" s="25" t="n">
        <v>70.4470796276607</v>
      </c>
      <c r="P27" s="21">
        <f>K27-F27</f>
        <v/>
      </c>
      <c r="Q27" s="21">
        <f>L27-G27</f>
        <v/>
      </c>
      <c r="R27" s="21">
        <f>M27-H27</f>
        <v/>
      </c>
      <c r="S27">
        <f>IF(AND(ABS(P27)&lt;0.01,IFERROR(ABS(Q27)&lt;0.01,TRUE),IFERROR(ABS(R27)&lt;0.01,TRUE)),"Mutabık","FARK")</f>
        <v/>
      </c>
    </row>
    <row r="28">
      <c r="A28" s="29" t="inlineStr">
        <is>
          <t>PPA|Yüksek|P90|Yok</t>
        </is>
      </c>
      <c r="B28" s="29" t="inlineStr">
        <is>
          <t>PPA</t>
        </is>
      </c>
      <c r="C28" s="29" t="inlineStr">
        <is>
          <t>Yüksek</t>
        </is>
      </c>
      <c r="D28" s="29" t="inlineStr">
        <is>
          <t>P90</t>
        </is>
      </c>
      <c r="E28" s="29" t="inlineStr">
        <is>
          <t>Yok</t>
        </is>
      </c>
      <c r="F28" s="25" t="n">
        <v>-4.522173998231502</v>
      </c>
      <c r="G28" s="25" t="n">
        <v>6.361554869536123</v>
      </c>
      <c r="H28" s="25" t="n">
        <v>7.810523479945253</v>
      </c>
      <c r="I28" s="25" t="n">
        <v>1.309351827117071</v>
      </c>
      <c r="J28" s="25" t="n">
        <v>70.44707962766073</v>
      </c>
      <c r="K28" s="25" t="n">
        <v>-4.5221739982315</v>
      </c>
      <c r="L28" s="25" t="n">
        <v>6.3615548695356</v>
      </c>
      <c r="M28" s="25" t="n">
        <v>7.81052347994525</v>
      </c>
      <c r="N28" s="25" t="n">
        <v>1.30935182711707</v>
      </c>
      <c r="O28" s="25" t="n">
        <v>70.4470796276607</v>
      </c>
      <c r="P28" s="21">
        <f>K28-F28</f>
        <v/>
      </c>
      <c r="Q28" s="21">
        <f>L28-G28</f>
        <v/>
      </c>
      <c r="R28" s="21">
        <f>M28-H28</f>
        <v/>
      </c>
      <c r="S28">
        <f>IF(AND(ABS(P28)&lt;0.01,IFERROR(ABS(Q28)&lt;0.01,TRUE),IFERROR(ABS(R28)&lt;0.01,TRUE)),"Mutabık","FARK")</f>
        <v/>
      </c>
    </row>
    <row r="29">
      <c r="A29" s="29" t="inlineStr">
        <is>
          <t>YEKDEM nominal|Düşük|P50|Var</t>
        </is>
      </c>
      <c r="B29" s="29" t="inlineStr">
        <is>
          <t>YEKDEM nominal</t>
        </is>
      </c>
      <c r="C29" s="29" t="inlineStr">
        <is>
          <t>Düşük</t>
        </is>
      </c>
      <c r="D29" s="29" t="inlineStr">
        <is>
          <t>P50</t>
        </is>
      </c>
      <c r="E29" s="29" t="inlineStr">
        <is>
          <t>Var</t>
        </is>
      </c>
      <c r="F29" s="25" t="n">
        <v>-20.45011045109581</v>
      </c>
      <c r="G29" s="25" t="n">
        <v>3.251373305016803</v>
      </c>
      <c r="H29" s="25" t="n">
        <v>2.512862494814228</v>
      </c>
      <c r="I29" s="25" t="n">
        <v>1.171140285769583</v>
      </c>
      <c r="J29" s="25" t="n">
        <v>65.74853133930853</v>
      </c>
      <c r="K29" s="25" t="n">
        <v>-20.4501104510958</v>
      </c>
      <c r="L29" s="25" t="n">
        <v>3.25137330501682</v>
      </c>
      <c r="M29" s="25" t="n">
        <v>2.51286249481287</v>
      </c>
      <c r="N29" s="25" t="n">
        <v>1.17114028576958</v>
      </c>
      <c r="O29" s="25" t="n">
        <v>65.7485313393085</v>
      </c>
      <c r="P29" s="21">
        <f>K29-F29</f>
        <v/>
      </c>
      <c r="Q29" s="21">
        <f>L29-G29</f>
        <v/>
      </c>
      <c r="R29" s="21">
        <f>M29-H29</f>
        <v/>
      </c>
      <c r="S29">
        <f>IF(AND(ABS(P29)&lt;0.01,IFERROR(ABS(Q29)&lt;0.01,TRUE),IFERROR(ABS(R29)&lt;0.01,TRUE)),"Mutabık","FARK")</f>
        <v/>
      </c>
    </row>
    <row r="30">
      <c r="A30" s="29" t="inlineStr">
        <is>
          <t>YEKDEM nominal|Düşük|P50|Yok</t>
        </is>
      </c>
      <c r="B30" s="29" t="inlineStr">
        <is>
          <t>YEKDEM nominal</t>
        </is>
      </c>
      <c r="C30" s="29" t="inlineStr">
        <is>
          <t>Düşük</t>
        </is>
      </c>
      <c r="D30" s="29" t="inlineStr">
        <is>
          <t>P50</t>
        </is>
      </c>
      <c r="E30" s="29" t="inlineStr">
        <is>
          <t>Yok</t>
        </is>
      </c>
      <c r="F30" s="25" t="n">
        <v>-26.6918833535096</v>
      </c>
      <c r="G30" s="25" t="n">
        <v>2.533084312012235</v>
      </c>
      <c r="H30" s="25" t="n">
        <v>1.646352658786421</v>
      </c>
      <c r="I30" s="25" t="n">
        <v>1.171140285769583</v>
      </c>
      <c r="J30" s="25" t="n">
        <v>65.74853133930853</v>
      </c>
      <c r="K30" s="25" t="n">
        <v>-26.6918833535096</v>
      </c>
      <c r="L30" s="25" t="n">
        <v>2.53308431201223</v>
      </c>
      <c r="M30" s="25" t="n">
        <v>1.64635265878643</v>
      </c>
      <c r="N30" s="25" t="n">
        <v>1.17114028576958</v>
      </c>
      <c r="O30" s="25" t="n">
        <v>65.7485313393085</v>
      </c>
      <c r="P30" s="21">
        <f>K30-F30</f>
        <v/>
      </c>
      <c r="Q30" s="21">
        <f>L30-G30</f>
        <v/>
      </c>
      <c r="R30" s="21">
        <f>M30-H30</f>
        <v/>
      </c>
      <c r="S30">
        <f>IF(AND(ABS(P30)&lt;0.01,IFERROR(ABS(Q30)&lt;0.01,TRUE),IFERROR(ABS(R30)&lt;0.01,TRUE)),"Mutabık","FARK")</f>
        <v/>
      </c>
    </row>
    <row r="31">
      <c r="A31" s="29" t="inlineStr">
        <is>
          <t>YEKDEM nominal|Düşük|P90|Var</t>
        </is>
      </c>
      <c r="B31" s="29" t="inlineStr">
        <is>
          <t>YEKDEM nominal</t>
        </is>
      </c>
      <c r="C31" s="29" t="inlineStr">
        <is>
          <t>Düşük</t>
        </is>
      </c>
      <c r="D31" s="29" t="inlineStr">
        <is>
          <t>P90</t>
        </is>
      </c>
      <c r="E31" s="29" t="inlineStr">
        <is>
          <t>Var</t>
        </is>
      </c>
      <c r="F31" s="25" t="n">
        <v>-23.56271591529258</v>
      </c>
      <c r="G31" s="25" t="n">
        <v>2.614344417718095</v>
      </c>
      <c r="H31" s="25" t="n">
        <v>1.629000687599869</v>
      </c>
      <c r="I31" s="25" t="n">
        <v>1.2</v>
      </c>
      <c r="J31" s="25" t="n">
        <v>69.29647125733577</v>
      </c>
      <c r="K31" s="25" t="n">
        <v>-23.5627159152926</v>
      </c>
      <c r="L31" s="25" t="n">
        <v>2.61434441771809</v>
      </c>
      <c r="M31" s="25" t="n">
        <v>1.62900068759986</v>
      </c>
      <c r="N31" s="25" t="n">
        <v>1.2</v>
      </c>
      <c r="O31" s="25" t="n">
        <v>69.2964712573358</v>
      </c>
      <c r="P31" s="21">
        <f>K31-F31</f>
        <v/>
      </c>
      <c r="Q31" s="21">
        <f>L31-G31</f>
        <v/>
      </c>
      <c r="R31" s="21">
        <f>M31-H31</f>
        <v/>
      </c>
      <c r="S31">
        <f>IF(AND(ABS(P31)&lt;0.01,IFERROR(ABS(Q31)&lt;0.01,TRUE),IFERROR(ABS(R31)&lt;0.01,TRUE)),"Mutabık","FARK")</f>
        <v/>
      </c>
    </row>
    <row r="32">
      <c r="A32" s="29" t="inlineStr">
        <is>
          <t>YEKDEM nominal|Düşük|P90|Yok</t>
        </is>
      </c>
      <c r="B32" s="29" t="inlineStr">
        <is>
          <t>YEKDEM nominal</t>
        </is>
      </c>
      <c r="C32" s="29" t="inlineStr">
        <is>
          <t>Düşük</t>
        </is>
      </c>
      <c r="D32" s="29" t="inlineStr">
        <is>
          <t>P90</t>
        </is>
      </c>
      <c r="E32" s="29" t="inlineStr">
        <is>
          <t>Yok</t>
        </is>
      </c>
      <c r="F32" s="25" t="n">
        <v>-29.88720800360448</v>
      </c>
      <c r="G32" s="25" t="n">
        <v>1.923111539467215</v>
      </c>
      <c r="H32" s="25" t="n">
        <v>0.8349608596127989</v>
      </c>
      <c r="I32" s="25" t="n">
        <v>1.2</v>
      </c>
      <c r="J32" s="25" t="n">
        <v>69.29647125733577</v>
      </c>
      <c r="K32" s="25" t="n">
        <v>-29.8872080036045</v>
      </c>
      <c r="L32" s="25" t="n">
        <v>1.92311153946721</v>
      </c>
      <c r="M32" s="25" t="n">
        <v>0.8349608596127959</v>
      </c>
      <c r="N32" s="25" t="n">
        <v>1.2</v>
      </c>
      <c r="O32" s="25" t="n">
        <v>69.2964712573358</v>
      </c>
      <c r="P32" s="21">
        <f>K32-F32</f>
        <v/>
      </c>
      <c r="Q32" s="21">
        <f>L32-G32</f>
        <v/>
      </c>
      <c r="R32" s="21">
        <f>M32-H32</f>
        <v/>
      </c>
      <c r="S32">
        <f>IF(AND(ABS(P32)&lt;0.01,IFERROR(ABS(Q32)&lt;0.01,TRUE),IFERROR(ABS(R32)&lt;0.01,TRUE)),"Mutabık","FARK")</f>
        <v/>
      </c>
    </row>
    <row r="33">
      <c r="A33" s="29" t="inlineStr">
        <is>
          <t>YEKDEM nominal|Baz|P50|Var</t>
        </is>
      </c>
      <c r="B33" s="29" t="inlineStr">
        <is>
          <t>YEKDEM nominal</t>
        </is>
      </c>
      <c r="C33" s="29" t="inlineStr">
        <is>
          <t>Baz</t>
        </is>
      </c>
      <c r="D33" s="29" t="inlineStr">
        <is>
          <t>P50</t>
        </is>
      </c>
      <c r="E33" s="29" t="inlineStr">
        <is>
          <t>Var</t>
        </is>
      </c>
      <c r="F33" s="25" t="n">
        <v>-2.368878071967155</v>
      </c>
      <c r="G33" s="25" t="n">
        <v>6.600845358411068</v>
      </c>
      <c r="H33" s="25" t="n">
        <v>7.913873290154061</v>
      </c>
      <c r="I33" s="25" t="n">
        <v>1.256748454593704</v>
      </c>
      <c r="J33" s="25" t="n">
        <v>67.52187552710208</v>
      </c>
      <c r="K33" s="25" t="n">
        <v>-2.36887807196716</v>
      </c>
      <c r="L33" s="25" t="n">
        <v>6.60084535840727</v>
      </c>
      <c r="M33" s="25" t="n">
        <v>7.91387329015407</v>
      </c>
      <c r="N33" s="25" t="n">
        <v>1.2567484545937</v>
      </c>
      <c r="O33" s="25" t="n">
        <v>67.5218755271021</v>
      </c>
      <c r="P33" s="21">
        <f>K33-F33</f>
        <v/>
      </c>
      <c r="Q33" s="21">
        <f>L33-G33</f>
        <v/>
      </c>
      <c r="R33" s="21">
        <f>M33-H33</f>
        <v/>
      </c>
      <c r="S33">
        <f>IF(AND(ABS(P33)&lt;0.01,IFERROR(ABS(Q33)&lt;0.01,TRUE),IFERROR(ABS(R33)&lt;0.01,TRUE)),"Mutabık","FARK")</f>
        <v/>
      </c>
    </row>
    <row r="34">
      <c r="A34" s="29" t="inlineStr">
        <is>
          <t>YEKDEM nominal|Baz|P50|Yok</t>
        </is>
      </c>
      <c r="B34" s="29" t="inlineStr">
        <is>
          <t>YEKDEM nominal</t>
        </is>
      </c>
      <c r="C34" s="29" t="inlineStr">
        <is>
          <t>Baz</t>
        </is>
      </c>
      <c r="D34" s="29" t="inlineStr">
        <is>
          <t>P50</t>
        </is>
      </c>
      <c r="E34" s="29" t="inlineStr">
        <is>
          <t>Yok</t>
        </is>
      </c>
      <c r="F34" s="25" t="n">
        <v>-8.254113855117376</v>
      </c>
      <c r="G34" s="25" t="n">
        <v>5.727978083411179</v>
      </c>
      <c r="H34" s="25" t="n">
        <v>6.239337882162877</v>
      </c>
      <c r="I34" s="25" t="n">
        <v>1.256748454593704</v>
      </c>
      <c r="J34" s="25" t="n">
        <v>67.52187552710208</v>
      </c>
      <c r="K34" s="25" t="n">
        <v>-8.254113855117369</v>
      </c>
      <c r="L34" s="25" t="n">
        <v>5.72797808341118</v>
      </c>
      <c r="M34" s="25" t="n">
        <v>6.23933788216225</v>
      </c>
      <c r="N34" s="25" t="n">
        <v>1.2567484545937</v>
      </c>
      <c r="O34" s="25" t="n">
        <v>67.5218755271021</v>
      </c>
      <c r="P34" s="21">
        <f>K34-F34</f>
        <v/>
      </c>
      <c r="Q34" s="21">
        <f>L34-G34</f>
        <v/>
      </c>
      <c r="R34" s="21">
        <f>M34-H34</f>
        <v/>
      </c>
      <c r="S34">
        <f>IF(AND(ABS(P34)&lt;0.01,IFERROR(ABS(Q34)&lt;0.01,TRUE),IFERROR(ABS(R34)&lt;0.01,TRUE)),"Mutabık","FARK")</f>
        <v/>
      </c>
    </row>
    <row r="35">
      <c r="A35" s="29" t="inlineStr">
        <is>
          <t>YEKDEM nominal|Baz|P90|Var</t>
        </is>
      </c>
      <c r="B35" s="29" t="inlineStr">
        <is>
          <t>YEKDEM nominal</t>
        </is>
      </c>
      <c r="C35" s="29" t="inlineStr">
        <is>
          <t>Baz</t>
        </is>
      </c>
      <c r="D35" s="29" t="inlineStr">
        <is>
          <t>P90</t>
        </is>
      </c>
      <c r="E35" s="29" t="inlineStr">
        <is>
          <t>Var</t>
        </is>
      </c>
      <c r="F35" s="25" t="n">
        <v>-6.182038923601628</v>
      </c>
      <c r="G35" s="25" t="n">
        <v>5.943165003666573</v>
      </c>
      <c r="H35" s="25" t="n">
        <v>6.693235586178748</v>
      </c>
      <c r="I35" s="25" t="n">
        <v>1.3</v>
      </c>
      <c r="J35" s="25" t="n">
        <v>71.10903010969848</v>
      </c>
      <c r="K35" s="25" t="n">
        <v>-6.18203892360162</v>
      </c>
      <c r="L35" s="25" t="n">
        <v>5.94316500366658</v>
      </c>
      <c r="M35" s="25" t="n">
        <v>6.693235586178741</v>
      </c>
      <c r="N35" s="25" t="n">
        <v>1.3</v>
      </c>
      <c r="O35" s="25" t="n">
        <v>71.10903010969849</v>
      </c>
      <c r="P35" s="21">
        <f>K35-F35</f>
        <v/>
      </c>
      <c r="Q35" s="21">
        <f>L35-G35</f>
        <v/>
      </c>
      <c r="R35" s="21">
        <f>M35-H35</f>
        <v/>
      </c>
      <c r="S35">
        <f>IF(AND(ABS(P35)&lt;0.01,IFERROR(ABS(Q35)&lt;0.01,TRUE),IFERROR(ABS(R35)&lt;0.01,TRUE)),"Mutabık","FARK")</f>
        <v/>
      </c>
    </row>
    <row r="36">
      <c r="A36" s="29" t="inlineStr">
        <is>
          <t>YEKDEM nominal|Baz|P90|Yok</t>
        </is>
      </c>
      <c r="B36" s="29" t="inlineStr">
        <is>
          <t>YEKDEM nominal</t>
        </is>
      </c>
      <c r="C36" s="29" t="inlineStr">
        <is>
          <t>Baz</t>
        </is>
      </c>
      <c r="D36" s="29" t="inlineStr">
        <is>
          <t>P90</t>
        </is>
      </c>
      <c r="E36" s="29" t="inlineStr">
        <is>
          <t>Yok</t>
        </is>
      </c>
      <c r="F36" s="25" t="n">
        <v>-12.15909650592047</v>
      </c>
      <c r="G36" s="25" t="n">
        <v>5.099768602446863</v>
      </c>
      <c r="H36" s="25" t="n">
        <v>5.199157489849549</v>
      </c>
      <c r="I36" s="25" t="n">
        <v>1.3</v>
      </c>
      <c r="J36" s="25" t="n">
        <v>71.10903010969848</v>
      </c>
      <c r="K36" s="25" t="n">
        <v>-12.1590965059205</v>
      </c>
      <c r="L36" s="25" t="n">
        <v>5.09976860244687</v>
      </c>
      <c r="M36" s="25" t="n">
        <v>5.19915748984772</v>
      </c>
      <c r="N36" s="25" t="n">
        <v>1.3</v>
      </c>
      <c r="O36" s="25" t="n">
        <v>71.10903010969849</v>
      </c>
      <c r="P36" s="21">
        <f>K36-F36</f>
        <v/>
      </c>
      <c r="Q36" s="21">
        <f>L36-G36</f>
        <v/>
      </c>
      <c r="R36" s="21">
        <f>M36-H36</f>
        <v/>
      </c>
      <c r="S36">
        <f>IF(AND(ABS(P36)&lt;0.01,IFERROR(ABS(Q36)&lt;0.01,TRUE),IFERROR(ABS(R36)&lt;0.01,TRUE)),"Mutabık","FARK")</f>
        <v/>
      </c>
    </row>
    <row r="37">
      <c r="A37" s="29" t="inlineStr">
        <is>
          <t>YEKDEM nominal|Yüksek|P50|Var</t>
        </is>
      </c>
      <c r="B37" s="29" t="inlineStr">
        <is>
          <t>YEKDEM nominal</t>
        </is>
      </c>
      <c r="C37" s="29" t="inlineStr">
        <is>
          <t>Yüksek</t>
        </is>
      </c>
      <c r="D37" s="29" t="inlineStr">
        <is>
          <t>P50</t>
        </is>
      </c>
      <c r="E37" s="29" t="inlineStr">
        <is>
          <t>Var</t>
        </is>
      </c>
      <c r="F37" s="25" t="n">
        <v>16.55470332667028</v>
      </c>
      <c r="G37" s="25" t="n">
        <v>9.61379113450268</v>
      </c>
      <c r="H37" s="25" t="n">
        <v>17.28126034569258</v>
      </c>
      <c r="I37" s="25" t="n">
        <v>1.508311219423743</v>
      </c>
      <c r="J37" s="25" t="n">
        <v>68.32619875498396</v>
      </c>
      <c r="K37" s="25" t="n">
        <v>16.5547033266703</v>
      </c>
      <c r="L37" s="25" t="n">
        <v>9.61379113450068</v>
      </c>
      <c r="M37" s="25" t="n">
        <v>17.2812603456926</v>
      </c>
      <c r="N37" s="25" t="n">
        <v>1.50831121942374</v>
      </c>
      <c r="O37" s="25" t="n">
        <v>68.32619875498401</v>
      </c>
      <c r="P37" s="21">
        <f>K37-F37</f>
        <v/>
      </c>
      <c r="Q37" s="21">
        <f>L37-G37</f>
        <v/>
      </c>
      <c r="R37" s="21">
        <f>M37-H37</f>
        <v/>
      </c>
      <c r="S37">
        <f>IF(AND(ABS(P37)&lt;0.01,IFERROR(ABS(Q37)&lt;0.01,TRUE),IFERROR(ABS(R37)&lt;0.01,TRUE)),"Mutabık","FARK")</f>
        <v/>
      </c>
    </row>
    <row r="38">
      <c r="A38" s="29" t="inlineStr">
        <is>
          <t>YEKDEM nominal|Yüksek|P50|Yok</t>
        </is>
      </c>
      <c r="B38" s="29" t="inlineStr">
        <is>
          <t>YEKDEM nominal</t>
        </is>
      </c>
      <c r="C38" s="29" t="inlineStr">
        <is>
          <t>Yüksek</t>
        </is>
      </c>
      <c r="D38" s="29" t="inlineStr">
        <is>
          <t>P50</t>
        </is>
      </c>
      <c r="E38" s="29" t="inlineStr">
        <is>
          <t>Yok</t>
        </is>
      </c>
      <c r="F38" s="25" t="n">
        <v>11.06543246618561</v>
      </c>
      <c r="G38" s="25" t="n">
        <v>8.601578050490522</v>
      </c>
      <c r="H38" s="25" t="n">
        <v>13.03323851114763</v>
      </c>
      <c r="I38" s="25" t="n">
        <v>1.508311219423743</v>
      </c>
      <c r="J38" s="25" t="n">
        <v>68.32619875498396</v>
      </c>
      <c r="K38" s="25" t="n">
        <v>11.0654324661856</v>
      </c>
      <c r="L38" s="25" t="n">
        <v>8.60157805049052</v>
      </c>
      <c r="M38" s="25" t="n">
        <v>13.0332385111473</v>
      </c>
      <c r="N38" s="25" t="n">
        <v>1.50831121942374</v>
      </c>
      <c r="O38" s="25" t="n">
        <v>68.32619875498401</v>
      </c>
      <c r="P38" s="21">
        <f>K38-F38</f>
        <v/>
      </c>
      <c r="Q38" s="21">
        <f>L38-G38</f>
        <v/>
      </c>
      <c r="R38" s="21">
        <f>M38-H38</f>
        <v/>
      </c>
      <c r="S38">
        <f>IF(AND(ABS(P38)&lt;0.01,IFERROR(ABS(Q38)&lt;0.01,TRUE),IFERROR(ABS(R38)&lt;0.01,TRUE)),"Mutabık","FARK")</f>
        <v/>
      </c>
    </row>
    <row r="39">
      <c r="A39" s="29" t="inlineStr">
        <is>
          <t>YEKDEM nominal|Yüksek|P90|Var</t>
        </is>
      </c>
      <c r="B39" s="29" t="inlineStr">
        <is>
          <t>YEKDEM nominal</t>
        </is>
      </c>
      <c r="C39" s="29" t="inlineStr">
        <is>
          <t>Yüksek</t>
        </is>
      </c>
      <c r="D39" s="29" t="inlineStr">
        <is>
          <t>P90</t>
        </is>
      </c>
      <c r="E39" s="29" t="inlineStr">
        <is>
          <t>Var</t>
        </is>
      </c>
      <c r="F39" s="25" t="n">
        <v>12.28596296874219</v>
      </c>
      <c r="G39" s="25" t="n">
        <v>8.972257375457138</v>
      </c>
      <c r="H39" s="25" t="n">
        <v>15.12963342365389</v>
      </c>
      <c r="I39" s="25" t="n">
        <v>1.44235438045474</v>
      </c>
      <c r="J39" s="25" t="n">
        <v>71.90507371849306</v>
      </c>
      <c r="K39" s="25" t="n">
        <v>12.2859629687422</v>
      </c>
      <c r="L39" s="25" t="n">
        <v>8.972257375457101</v>
      </c>
      <c r="M39" s="25" t="n">
        <v>15.1296334236539</v>
      </c>
      <c r="N39" s="25" t="n">
        <v>1.44235438045474</v>
      </c>
      <c r="O39" s="25" t="n">
        <v>71.9050737184931</v>
      </c>
      <c r="P39" s="21">
        <f>K39-F39</f>
        <v/>
      </c>
      <c r="Q39" s="21">
        <f>L39-G39</f>
        <v/>
      </c>
      <c r="R39" s="21">
        <f>M39-H39</f>
        <v/>
      </c>
      <c r="S39">
        <f>IF(AND(ABS(P39)&lt;0.01,IFERROR(ABS(Q39)&lt;0.01,TRUE),IFERROR(ABS(R39)&lt;0.01,TRUE)),"Mutabık","FARK")</f>
        <v/>
      </c>
    </row>
    <row r="40">
      <c r="A40" s="29" t="inlineStr">
        <is>
          <t>YEKDEM nominal|Yüksek|P90|Yok</t>
        </is>
      </c>
      <c r="B40" s="29" t="inlineStr">
        <is>
          <t>YEKDEM nominal</t>
        </is>
      </c>
      <c r="C40" s="29" t="inlineStr">
        <is>
          <t>Yüksek</t>
        </is>
      </c>
      <c r="D40" s="29" t="inlineStr">
        <is>
          <t>P90</t>
        </is>
      </c>
      <c r="E40" s="29" t="inlineStr">
        <is>
          <t>Yok</t>
        </is>
      </c>
      <c r="F40" s="25" t="n">
        <v>6.73331042894753</v>
      </c>
      <c r="G40" s="25" t="n">
        <v>7.990444900184112</v>
      </c>
      <c r="H40" s="25" t="n">
        <v>11.47027060218712</v>
      </c>
      <c r="I40" s="25" t="n">
        <v>1.44235438045474</v>
      </c>
      <c r="J40" s="25" t="n">
        <v>71.90507371849306</v>
      </c>
      <c r="K40" s="25" t="n">
        <v>6.73331042894754</v>
      </c>
      <c r="L40" s="25" t="n">
        <v>7.990444900184119</v>
      </c>
      <c r="M40" s="25" t="n">
        <v>11.4702706021871</v>
      </c>
      <c r="N40" s="25" t="n">
        <v>1.44235438045474</v>
      </c>
      <c r="O40" s="25" t="n">
        <v>71.9050737184931</v>
      </c>
      <c r="P40" s="21">
        <f>K40-F40</f>
        <v/>
      </c>
      <c r="Q40" s="21">
        <f>L40-G40</f>
        <v/>
      </c>
      <c r="R40" s="21">
        <f>M40-H40</f>
        <v/>
      </c>
      <c r="S40">
        <f>IF(AND(ABS(P40)&lt;0.01,IFERROR(ABS(Q40)&lt;0.01,TRUE),IFERROR(ABS(R40)&lt;0.01,TRUE)),"Mutabık","FARK")</f>
        <v/>
      </c>
    </row>
    <row r="41">
      <c r="A41" s="29" t="inlineStr">
        <is>
          <t>YEKDEM endeksli|Düşük|P50|Var</t>
        </is>
      </c>
      <c r="B41" s="29" t="inlineStr">
        <is>
          <t>YEKDEM endeksli</t>
        </is>
      </c>
      <c r="C41" s="29" t="inlineStr">
        <is>
          <t>Düşük</t>
        </is>
      </c>
      <c r="D41" s="29" t="inlineStr">
        <is>
          <t>P50</t>
        </is>
      </c>
      <c r="E41" s="29" t="inlineStr">
        <is>
          <t>Var</t>
        </is>
      </c>
      <c r="F41" s="25" t="n">
        <v>-12.85859628232081</v>
      </c>
      <c r="G41" s="25" t="n">
        <v>4.550016075753815</v>
      </c>
      <c r="H41" s="25" t="n">
        <v>4.294614738091173</v>
      </c>
      <c r="I41" s="25" t="n">
        <v>1.229672435519722</v>
      </c>
      <c r="J41" s="25" t="n">
        <v>64.16279795152053</v>
      </c>
      <c r="K41" s="25" t="n">
        <v>-12.8585962823208</v>
      </c>
      <c r="L41" s="25" t="n">
        <v>4.550016075753819</v>
      </c>
      <c r="M41" s="25" t="n">
        <v>4.294614738091171</v>
      </c>
      <c r="N41" s="25" t="n">
        <v>1.22967243551972</v>
      </c>
      <c r="O41" s="25" t="n">
        <v>64.1627979515205</v>
      </c>
      <c r="P41" s="21">
        <f>K41-F41</f>
        <v/>
      </c>
      <c r="Q41" s="21">
        <f>L41-G41</f>
        <v/>
      </c>
      <c r="R41" s="21">
        <f>M41-H41</f>
        <v/>
      </c>
      <c r="S41">
        <f>IF(AND(ABS(P41)&lt;0.01,IFERROR(ABS(Q41)&lt;0.01,TRUE),IFERROR(ABS(R41)&lt;0.01,TRUE)),"Mutabık","FARK")</f>
        <v/>
      </c>
    </row>
    <row r="42">
      <c r="A42" s="29" t="inlineStr">
        <is>
          <t>YEKDEM endeksli|Düşük|P50|Yok</t>
        </is>
      </c>
      <c r="B42" s="29" t="inlineStr">
        <is>
          <t>YEKDEM endeksli</t>
        </is>
      </c>
      <c r="C42" s="29" t="inlineStr">
        <is>
          <t>Düşük</t>
        </is>
      </c>
      <c r="D42" s="29" t="inlineStr">
        <is>
          <t>P50</t>
        </is>
      </c>
      <c r="E42" s="29" t="inlineStr">
        <is>
          <t>Yok</t>
        </is>
      </c>
      <c r="F42" s="25" t="n">
        <v>-18.90136962492055</v>
      </c>
      <c r="G42" s="25" t="n">
        <v>3.718264492011947</v>
      </c>
      <c r="H42" s="25" t="n">
        <v>3.074714522085154</v>
      </c>
      <c r="I42" s="25" t="n">
        <v>1.229672435519722</v>
      </c>
      <c r="J42" s="25" t="n">
        <v>64.16279795152053</v>
      </c>
      <c r="K42" s="25" t="n">
        <v>-18.9013696249205</v>
      </c>
      <c r="L42" s="25" t="n">
        <v>3.71826449201082</v>
      </c>
      <c r="M42" s="25" t="n">
        <v>3.07471452208516</v>
      </c>
      <c r="N42" s="25" t="n">
        <v>1.22967243551972</v>
      </c>
      <c r="O42" s="25" t="n">
        <v>64.1627979515205</v>
      </c>
      <c r="P42" s="21">
        <f>K42-F42</f>
        <v/>
      </c>
      <c r="Q42" s="21">
        <f>L42-G42</f>
        <v/>
      </c>
      <c r="R42" s="21">
        <f>M42-H42</f>
        <v/>
      </c>
      <c r="S42">
        <f>IF(AND(ABS(P42)&lt;0.01,IFERROR(ABS(Q42)&lt;0.01,TRUE),IFERROR(ABS(R42)&lt;0.01,TRUE)),"Mutabık","FARK")</f>
        <v/>
      </c>
    </row>
    <row r="43">
      <c r="A43" s="29" t="inlineStr">
        <is>
          <t>YEKDEM endeksli|Düşük|P90|Var</t>
        </is>
      </c>
      <c r="B43" s="29" t="inlineStr">
        <is>
          <t>YEKDEM endeksli</t>
        </is>
      </c>
      <c r="C43" s="29" t="inlineStr">
        <is>
          <t>Düşük</t>
        </is>
      </c>
      <c r="D43" s="29" t="inlineStr">
        <is>
          <t>P90</t>
        </is>
      </c>
      <c r="E43" s="29" t="inlineStr">
        <is>
          <t>Var</t>
        </is>
      </c>
      <c r="F43" s="25" t="n">
        <v>-16.49780214845163</v>
      </c>
      <c r="G43" s="25" t="n">
        <v>3.812448586607309</v>
      </c>
      <c r="H43" s="25" t="n">
        <v>3.087907399789203</v>
      </c>
      <c r="I43" s="25" t="n">
        <v>1.2</v>
      </c>
      <c r="J43" s="25" t="n">
        <v>67.63675071381819</v>
      </c>
      <c r="K43" s="25" t="n">
        <v>-16.4978021484516</v>
      </c>
      <c r="L43" s="25" t="n">
        <v>3.81244858660696</v>
      </c>
      <c r="M43" s="25" t="n">
        <v>3.0879073997892</v>
      </c>
      <c r="N43" s="25" t="n">
        <v>1.2</v>
      </c>
      <c r="O43" s="25" t="n">
        <v>67.6367507138182</v>
      </c>
      <c r="P43" s="21">
        <f>K43-F43</f>
        <v/>
      </c>
      <c r="Q43" s="21">
        <f>L43-G43</f>
        <v/>
      </c>
      <c r="R43" s="21">
        <f>M43-H43</f>
        <v/>
      </c>
      <c r="S43">
        <f>IF(AND(ABS(P43)&lt;0.01,IFERROR(ABS(Q43)&lt;0.01,TRUE),IFERROR(ABS(R43)&lt;0.01,TRUE)),"Mutabık","FARK")</f>
        <v/>
      </c>
    </row>
    <row r="44">
      <c r="A44" s="29" t="inlineStr">
        <is>
          <t>YEKDEM endeksli|Düşük|P90|Yok</t>
        </is>
      </c>
      <c r="B44" s="29" t="inlineStr">
        <is>
          <t>YEKDEM endeksli</t>
        </is>
      </c>
      <c r="C44" s="29" t="inlineStr">
        <is>
          <t>Düşük</t>
        </is>
      </c>
      <c r="D44" s="29" t="inlineStr">
        <is>
          <t>P90</t>
        </is>
      </c>
      <c r="E44" s="29" t="inlineStr">
        <is>
          <t>Yok</t>
        </is>
      </c>
      <c r="F44" s="25" t="n">
        <v>-22.63382860260309</v>
      </c>
      <c r="G44" s="25" t="n">
        <v>3.016396112515729</v>
      </c>
      <c r="H44" s="25" t="n">
        <v>2.014820989804067</v>
      </c>
      <c r="I44" s="25" t="n">
        <v>1.2</v>
      </c>
      <c r="J44" s="25" t="n">
        <v>67.63675071381819</v>
      </c>
      <c r="K44" s="25" t="n">
        <v>-22.6338286026031</v>
      </c>
      <c r="L44" s="25" t="n">
        <v>3.01639611251573</v>
      </c>
      <c r="M44" s="25" t="n">
        <v>2.01482098980407</v>
      </c>
      <c r="N44" s="25" t="n">
        <v>1.2</v>
      </c>
      <c r="O44" s="25" t="n">
        <v>67.6367507138182</v>
      </c>
      <c r="P44" s="21">
        <f>K44-F44</f>
        <v/>
      </c>
      <c r="Q44" s="21">
        <f>L44-G44</f>
        <v/>
      </c>
      <c r="R44" s="21">
        <f>M44-H44</f>
        <v/>
      </c>
      <c r="S44">
        <f>IF(AND(ABS(P44)&lt;0.01,IFERROR(ABS(Q44)&lt;0.01,TRUE),IFERROR(ABS(R44)&lt;0.01,TRUE)),"Mutabık","FARK")</f>
        <v/>
      </c>
    </row>
    <row r="45">
      <c r="A45" s="29" t="inlineStr">
        <is>
          <t>YEKDEM endeksli|Baz|P50|Var</t>
        </is>
      </c>
      <c r="B45" s="29" t="inlineStr">
        <is>
          <t>YEKDEM endeksli</t>
        </is>
      </c>
      <c r="C45" s="29" t="inlineStr">
        <is>
          <t>Baz</t>
        </is>
      </c>
      <c r="D45" s="29" t="inlineStr">
        <is>
          <t>P50</t>
        </is>
      </c>
      <c r="E45" s="29" t="inlineStr">
        <is>
          <t>Var</t>
        </is>
      </c>
      <c r="F45" s="25" t="n">
        <v>-2.368878071967155</v>
      </c>
      <c r="G45" s="25" t="n">
        <v>6.600845358411068</v>
      </c>
      <c r="H45" s="25" t="n">
        <v>7.913873290154061</v>
      </c>
      <c r="I45" s="25" t="n">
        <v>1.256748454593704</v>
      </c>
      <c r="J45" s="25" t="n">
        <v>67.52187552710208</v>
      </c>
      <c r="K45" s="25" t="n">
        <v>-2.36887807196716</v>
      </c>
      <c r="L45" s="25" t="n">
        <v>6.60084535840727</v>
      </c>
      <c r="M45" s="25" t="n">
        <v>7.91387329015407</v>
      </c>
      <c r="N45" s="25" t="n">
        <v>1.2567484545937</v>
      </c>
      <c r="O45" s="25" t="n">
        <v>67.5218755271021</v>
      </c>
      <c r="P45" s="21">
        <f>K45-F45</f>
        <v/>
      </c>
      <c r="Q45" s="21">
        <f>L45-G45</f>
        <v/>
      </c>
      <c r="R45" s="21">
        <f>M45-H45</f>
        <v/>
      </c>
      <c r="S45">
        <f>IF(AND(ABS(P45)&lt;0.01,IFERROR(ABS(Q45)&lt;0.01,TRUE),IFERROR(ABS(R45)&lt;0.01,TRUE)),"Mutabık","FARK")</f>
        <v/>
      </c>
    </row>
    <row r="46">
      <c r="A46" s="29" t="inlineStr">
        <is>
          <t>YEKDEM endeksli|Baz|P50|Yok</t>
        </is>
      </c>
      <c r="B46" s="29" t="inlineStr">
        <is>
          <t>YEKDEM endeksli</t>
        </is>
      </c>
      <c r="C46" s="29" t="inlineStr">
        <is>
          <t>Baz</t>
        </is>
      </c>
      <c r="D46" s="29" t="inlineStr">
        <is>
          <t>P50</t>
        </is>
      </c>
      <c r="E46" s="29" t="inlineStr">
        <is>
          <t>Yok</t>
        </is>
      </c>
      <c r="F46" s="25" t="n">
        <v>-8.254113855117376</v>
      </c>
      <c r="G46" s="25" t="n">
        <v>5.727978083411179</v>
      </c>
      <c r="H46" s="25" t="n">
        <v>6.239337882162877</v>
      </c>
      <c r="I46" s="25" t="n">
        <v>1.256748454593704</v>
      </c>
      <c r="J46" s="25" t="n">
        <v>67.52187552710208</v>
      </c>
      <c r="K46" s="25" t="n">
        <v>-8.254113855117369</v>
      </c>
      <c r="L46" s="25" t="n">
        <v>5.72797808341118</v>
      </c>
      <c r="M46" s="25" t="n">
        <v>6.23933788216225</v>
      </c>
      <c r="N46" s="25" t="n">
        <v>1.2567484545937</v>
      </c>
      <c r="O46" s="25" t="n">
        <v>67.5218755271021</v>
      </c>
      <c r="P46" s="21">
        <f>K46-F46</f>
        <v/>
      </c>
      <c r="Q46" s="21">
        <f>L46-G46</f>
        <v/>
      </c>
      <c r="R46" s="21">
        <f>M46-H46</f>
        <v/>
      </c>
      <c r="S46">
        <f>IF(AND(ABS(P46)&lt;0.01,IFERROR(ABS(Q46)&lt;0.01,TRUE),IFERROR(ABS(R46)&lt;0.01,TRUE)),"Mutabık","FARK")</f>
        <v/>
      </c>
    </row>
    <row r="47">
      <c r="A47" s="29" t="inlineStr">
        <is>
          <t>YEKDEM endeksli|Baz|P90|Var</t>
        </is>
      </c>
      <c r="B47" s="29" t="inlineStr">
        <is>
          <t>YEKDEM endeksli</t>
        </is>
      </c>
      <c r="C47" s="29" t="inlineStr">
        <is>
          <t>Baz</t>
        </is>
      </c>
      <c r="D47" s="29" t="inlineStr">
        <is>
          <t>P90</t>
        </is>
      </c>
      <c r="E47" s="29" t="inlineStr">
        <is>
          <t>Var</t>
        </is>
      </c>
      <c r="F47" s="25" t="n">
        <v>-6.182038923601628</v>
      </c>
      <c r="G47" s="25" t="n">
        <v>5.943165003666573</v>
      </c>
      <c r="H47" s="25" t="n">
        <v>6.693235586178748</v>
      </c>
      <c r="I47" s="25" t="n">
        <v>1.3</v>
      </c>
      <c r="J47" s="25" t="n">
        <v>71.10903010969848</v>
      </c>
      <c r="K47" s="25" t="n">
        <v>-6.18203892360162</v>
      </c>
      <c r="L47" s="25" t="n">
        <v>5.94316500366658</v>
      </c>
      <c r="M47" s="25" t="n">
        <v>6.693235586178741</v>
      </c>
      <c r="N47" s="25" t="n">
        <v>1.3</v>
      </c>
      <c r="O47" s="25" t="n">
        <v>71.10903010969849</v>
      </c>
      <c r="P47" s="21">
        <f>K47-F47</f>
        <v/>
      </c>
      <c r="Q47" s="21">
        <f>L47-G47</f>
        <v/>
      </c>
      <c r="R47" s="21">
        <f>M47-H47</f>
        <v/>
      </c>
      <c r="S47">
        <f>IF(AND(ABS(P47)&lt;0.01,IFERROR(ABS(Q47)&lt;0.01,TRUE),IFERROR(ABS(R47)&lt;0.01,TRUE)),"Mutabık","FARK")</f>
        <v/>
      </c>
    </row>
    <row r="48">
      <c r="A48" s="29" t="inlineStr">
        <is>
          <t>YEKDEM endeksli|Baz|P90|Yok</t>
        </is>
      </c>
      <c r="B48" s="29" t="inlineStr">
        <is>
          <t>YEKDEM endeksli</t>
        </is>
      </c>
      <c r="C48" s="29" t="inlineStr">
        <is>
          <t>Baz</t>
        </is>
      </c>
      <c r="D48" s="29" t="inlineStr">
        <is>
          <t>P90</t>
        </is>
      </c>
      <c r="E48" s="29" t="inlineStr">
        <is>
          <t>Yok</t>
        </is>
      </c>
      <c r="F48" s="25" t="n">
        <v>-12.15909650592047</v>
      </c>
      <c r="G48" s="25" t="n">
        <v>5.099768602446863</v>
      </c>
      <c r="H48" s="25" t="n">
        <v>5.199157489849549</v>
      </c>
      <c r="I48" s="25" t="n">
        <v>1.3</v>
      </c>
      <c r="J48" s="25" t="n">
        <v>71.10903010969848</v>
      </c>
      <c r="K48" s="25" t="n">
        <v>-12.1590965059205</v>
      </c>
      <c r="L48" s="25" t="n">
        <v>5.09976860244687</v>
      </c>
      <c r="M48" s="25" t="n">
        <v>5.19915748984772</v>
      </c>
      <c r="N48" s="25" t="n">
        <v>1.3</v>
      </c>
      <c r="O48" s="25" t="n">
        <v>71.10903010969849</v>
      </c>
      <c r="P48" s="21">
        <f>K48-F48</f>
        <v/>
      </c>
      <c r="Q48" s="21">
        <f>L48-G48</f>
        <v/>
      </c>
      <c r="R48" s="21">
        <f>M48-H48</f>
        <v/>
      </c>
      <c r="S48">
        <f>IF(AND(ABS(P48)&lt;0.01,IFERROR(ABS(Q48)&lt;0.01,TRUE),IFERROR(ABS(R48)&lt;0.01,TRUE)),"Mutabık","FARK")</f>
        <v/>
      </c>
    </row>
    <row r="49">
      <c r="A49" s="29" t="inlineStr">
        <is>
          <t>YEKDEM endeksli|Yüksek|P50|Var</t>
        </is>
      </c>
      <c r="B49" s="29" t="inlineStr">
        <is>
          <t>YEKDEM endeksli</t>
        </is>
      </c>
      <c r="C49" s="29" t="inlineStr">
        <is>
          <t>Yüksek</t>
        </is>
      </c>
      <c r="D49" s="29" t="inlineStr">
        <is>
          <t>P50</t>
        </is>
      </c>
      <c r="E49" s="29" t="inlineStr">
        <is>
          <t>Var</t>
        </is>
      </c>
      <c r="F49" s="25" t="n">
        <v>16.55470332667028</v>
      </c>
      <c r="G49" s="25" t="n">
        <v>9.61379113450268</v>
      </c>
      <c r="H49" s="25" t="n">
        <v>17.28126034569258</v>
      </c>
      <c r="I49" s="25" t="n">
        <v>1.508311219423743</v>
      </c>
      <c r="J49" s="25" t="n">
        <v>68.32619875498396</v>
      </c>
      <c r="K49" s="25" t="n">
        <v>16.5547033266703</v>
      </c>
      <c r="L49" s="25" t="n">
        <v>9.61379113450068</v>
      </c>
      <c r="M49" s="25" t="n">
        <v>17.2812603456926</v>
      </c>
      <c r="N49" s="25" t="n">
        <v>1.50831121942374</v>
      </c>
      <c r="O49" s="25" t="n">
        <v>68.32619875498401</v>
      </c>
      <c r="P49" s="21">
        <f>K49-F49</f>
        <v/>
      </c>
      <c r="Q49" s="21">
        <f>L49-G49</f>
        <v/>
      </c>
      <c r="R49" s="21">
        <f>M49-H49</f>
        <v/>
      </c>
      <c r="S49">
        <f>IF(AND(ABS(P49)&lt;0.01,IFERROR(ABS(Q49)&lt;0.01,TRUE),IFERROR(ABS(R49)&lt;0.01,TRUE)),"Mutabık","FARK")</f>
        <v/>
      </c>
    </row>
    <row r="50">
      <c r="A50" s="29" t="inlineStr">
        <is>
          <t>YEKDEM endeksli|Yüksek|P50|Yok</t>
        </is>
      </c>
      <c r="B50" s="29" t="inlineStr">
        <is>
          <t>YEKDEM endeksli</t>
        </is>
      </c>
      <c r="C50" s="29" t="inlineStr">
        <is>
          <t>Yüksek</t>
        </is>
      </c>
      <c r="D50" s="29" t="inlineStr">
        <is>
          <t>P50</t>
        </is>
      </c>
      <c r="E50" s="29" t="inlineStr">
        <is>
          <t>Yok</t>
        </is>
      </c>
      <c r="F50" s="25" t="n">
        <v>11.06543246618561</v>
      </c>
      <c r="G50" s="25" t="n">
        <v>8.601578050490522</v>
      </c>
      <c r="H50" s="25" t="n">
        <v>13.03323851114763</v>
      </c>
      <c r="I50" s="25" t="n">
        <v>1.508311219423743</v>
      </c>
      <c r="J50" s="25" t="n">
        <v>68.32619875498396</v>
      </c>
      <c r="K50" s="25" t="n">
        <v>11.0654324661856</v>
      </c>
      <c r="L50" s="25" t="n">
        <v>8.60157805049052</v>
      </c>
      <c r="M50" s="25" t="n">
        <v>13.0332385111473</v>
      </c>
      <c r="N50" s="25" t="n">
        <v>1.50831121942374</v>
      </c>
      <c r="O50" s="25" t="n">
        <v>68.32619875498401</v>
      </c>
      <c r="P50" s="21">
        <f>K50-F50</f>
        <v/>
      </c>
      <c r="Q50" s="21">
        <f>L50-G50</f>
        <v/>
      </c>
      <c r="R50" s="21">
        <f>M50-H50</f>
        <v/>
      </c>
      <c r="S50">
        <f>IF(AND(ABS(P50)&lt;0.01,IFERROR(ABS(Q50)&lt;0.01,TRUE),IFERROR(ABS(R50)&lt;0.01,TRUE)),"Mutabık","FARK")</f>
        <v/>
      </c>
    </row>
    <row r="51">
      <c r="A51" s="29" t="inlineStr">
        <is>
          <t>YEKDEM endeksli|Yüksek|P90|Var</t>
        </is>
      </c>
      <c r="B51" s="29" t="inlineStr">
        <is>
          <t>YEKDEM endeksli</t>
        </is>
      </c>
      <c r="C51" s="29" t="inlineStr">
        <is>
          <t>Yüksek</t>
        </is>
      </c>
      <c r="D51" s="29" t="inlineStr">
        <is>
          <t>P90</t>
        </is>
      </c>
      <c r="E51" s="29" t="inlineStr">
        <is>
          <t>Var</t>
        </is>
      </c>
      <c r="F51" s="25" t="n">
        <v>12.28596296874219</v>
      </c>
      <c r="G51" s="25" t="n">
        <v>8.972257375457138</v>
      </c>
      <c r="H51" s="25" t="n">
        <v>15.12963342365389</v>
      </c>
      <c r="I51" s="25" t="n">
        <v>1.44235438045474</v>
      </c>
      <c r="J51" s="25" t="n">
        <v>71.90507371849306</v>
      </c>
      <c r="K51" s="25" t="n">
        <v>12.2859629687422</v>
      </c>
      <c r="L51" s="25" t="n">
        <v>8.972257375457101</v>
      </c>
      <c r="M51" s="25" t="n">
        <v>15.1296334236539</v>
      </c>
      <c r="N51" s="25" t="n">
        <v>1.44235438045474</v>
      </c>
      <c r="O51" s="25" t="n">
        <v>71.9050737184931</v>
      </c>
      <c r="P51" s="21">
        <f>K51-F51</f>
        <v/>
      </c>
      <c r="Q51" s="21">
        <f>L51-G51</f>
        <v/>
      </c>
      <c r="R51" s="21">
        <f>M51-H51</f>
        <v/>
      </c>
      <c r="S51">
        <f>IF(AND(ABS(P51)&lt;0.01,IFERROR(ABS(Q51)&lt;0.01,TRUE),IFERROR(ABS(R51)&lt;0.01,TRUE)),"Mutabık","FARK")</f>
        <v/>
      </c>
    </row>
    <row r="52">
      <c r="A52" s="29" t="inlineStr">
        <is>
          <t>YEKDEM endeksli|Yüksek|P90|Yok</t>
        </is>
      </c>
      <c r="B52" s="29" t="inlineStr">
        <is>
          <t>YEKDEM endeksli</t>
        </is>
      </c>
      <c r="C52" s="29" t="inlineStr">
        <is>
          <t>Yüksek</t>
        </is>
      </c>
      <c r="D52" s="29" t="inlineStr">
        <is>
          <t>P90</t>
        </is>
      </c>
      <c r="E52" s="29" t="inlineStr">
        <is>
          <t>Yok</t>
        </is>
      </c>
      <c r="F52" s="25" t="n">
        <v>6.73331042894753</v>
      </c>
      <c r="G52" s="25" t="n">
        <v>7.990444900184112</v>
      </c>
      <c r="H52" s="25" t="n">
        <v>11.47027060218712</v>
      </c>
      <c r="I52" s="25" t="n">
        <v>1.44235438045474</v>
      </c>
      <c r="J52" s="25" t="n">
        <v>71.90507371849306</v>
      </c>
      <c r="K52" s="25" t="n">
        <v>6.73331042894754</v>
      </c>
      <c r="L52" s="25" t="n">
        <v>7.990444900184119</v>
      </c>
      <c r="M52" s="25" t="n">
        <v>11.4702706021871</v>
      </c>
      <c r="N52" s="25" t="n">
        <v>1.44235438045474</v>
      </c>
      <c r="O52" s="25" t="n">
        <v>71.9050737184931</v>
      </c>
      <c r="P52" s="21">
        <f>K52-F52</f>
        <v/>
      </c>
      <c r="Q52" s="21">
        <f>L52-G52</f>
        <v/>
      </c>
      <c r="R52" s="21">
        <f>M52-H52</f>
        <v/>
      </c>
      <c r="S52">
        <f>IF(AND(ABS(P52)&lt;0.01,IFERROR(ABS(Q52)&lt;0.01,TRUE),IFERROR(ABS(R52)&lt;0.01,TRUE)),"Mutabık","FARK")</f>
        <v/>
      </c>
    </row>
    <row r="53">
      <c r="A53" s="29" t="inlineStr">
        <is>
          <t>Tüccar|Düşük|P50|Var|Düzeltilmiş</t>
        </is>
      </c>
      <c r="B53" s="29" t="inlineStr">
        <is>
          <t>Tüccar</t>
        </is>
      </c>
      <c r="C53" s="29" t="inlineStr">
        <is>
          <t>Düşük</t>
        </is>
      </c>
      <c r="D53" s="29" t="inlineStr">
        <is>
          <t>P50</t>
        </is>
      </c>
      <c r="E53" s="29" t="inlineStr">
        <is>
          <t>Var</t>
        </is>
      </c>
      <c r="F53" s="25" t="n">
        <v>-19.16249171795314</v>
      </c>
      <c r="G53" s="25" t="n">
        <v>3.576790982274469</v>
      </c>
      <c r="H53" s="25" t="n">
        <v>2.966669733033467</v>
      </c>
      <c r="I53" s="25" t="n">
        <v>1.262503240056661</v>
      </c>
      <c r="J53" s="25" t="n">
        <v>64.81729618757251</v>
      </c>
      <c r="K53" s="25" t="n">
        <v>-19.1624917179532</v>
      </c>
      <c r="L53" s="25" t="n">
        <v>3.57679098227447</v>
      </c>
      <c r="M53" s="25" t="n">
        <v>2.96666973303346</v>
      </c>
      <c r="N53" s="25" t="n">
        <v>1.26250324005666</v>
      </c>
      <c r="O53" s="25" t="n">
        <v>64.8172961875725</v>
      </c>
      <c r="P53" s="21">
        <f>K53-F53</f>
        <v/>
      </c>
      <c r="Q53" s="21">
        <f>L53-G53</f>
        <v/>
      </c>
      <c r="R53" s="21">
        <f>M53-H53</f>
        <v/>
      </c>
      <c r="S53">
        <f>IF(AND(ABS(P53)&lt;0.01,IFERROR(ABS(Q53)&lt;0.01,TRUE),IFERROR(ABS(R53)&lt;0.01,TRUE)),"Mutabık","FARK")</f>
        <v/>
      </c>
    </row>
    <row r="54">
      <c r="A54" s="29" t="inlineStr">
        <is>
          <t>Tüccar|Düşük|P50|Yok|Düzeltilmiş</t>
        </is>
      </c>
      <c r="B54" s="29" t="inlineStr">
        <is>
          <t>Tüccar</t>
        </is>
      </c>
      <c r="C54" s="29" t="inlineStr">
        <is>
          <t>Düşük</t>
        </is>
      </c>
      <c r="D54" s="29" t="inlineStr">
        <is>
          <t>P50</t>
        </is>
      </c>
      <c r="E54" s="29" t="inlineStr">
        <is>
          <t>Yok</t>
        </is>
      </c>
      <c r="F54" s="25" t="n">
        <v>-25.49992842744079</v>
      </c>
      <c r="G54" s="25" t="n">
        <v>2.841876887457151</v>
      </c>
      <c r="H54" s="25" t="n">
        <v>2.054542895447231</v>
      </c>
      <c r="I54" s="25" t="n">
        <v>1.262503240056661</v>
      </c>
      <c r="J54" s="25" t="n">
        <v>64.81729618757251</v>
      </c>
      <c r="K54" s="25" t="n">
        <v>-25.4999284274408</v>
      </c>
      <c r="L54" s="25" t="n">
        <v>2.84187688745715</v>
      </c>
      <c r="M54" s="25" t="n">
        <v>2.05454289544723</v>
      </c>
      <c r="N54" s="25" t="n">
        <v>1.26250324005666</v>
      </c>
      <c r="O54" s="25" t="n">
        <v>64.8172961875725</v>
      </c>
      <c r="P54" s="21">
        <f>K54-F54</f>
        <v/>
      </c>
      <c r="Q54" s="21">
        <f>L54-G54</f>
        <v/>
      </c>
      <c r="R54" s="21">
        <f>M54-H54</f>
        <v/>
      </c>
      <c r="S54">
        <f>IF(AND(ABS(P54)&lt;0.01,IFERROR(ABS(Q54)&lt;0.01,TRUE),IFERROR(ABS(R54)&lt;0.01,TRUE)),"Mutabık","FARK")</f>
        <v/>
      </c>
    </row>
    <row r="55">
      <c r="A55" s="29" t="inlineStr">
        <is>
          <t>Tüccar|Düşük|P90|Var|Düzeltilmiş</t>
        </is>
      </c>
      <c r="B55" s="29" t="inlineStr">
        <is>
          <t>Tüccar</t>
        </is>
      </c>
      <c r="C55" s="29" t="inlineStr">
        <is>
          <t>Düşük</t>
        </is>
      </c>
      <c r="D55" s="29" t="inlineStr">
        <is>
          <t>P90</t>
        </is>
      </c>
      <c r="E55" s="29" t="inlineStr">
        <is>
          <t>Var</t>
        </is>
      </c>
      <c r="F55" s="25" t="n">
        <v>-22.1090474951982</v>
      </c>
      <c r="G55" s="25" t="n">
        <v>2.988311752282191</v>
      </c>
      <c r="H55" s="25" t="n">
        <v>2.12192047160974</v>
      </c>
      <c r="I55" s="25" t="n">
        <v>1.3</v>
      </c>
      <c r="J55" s="25" t="n">
        <v>68.2953979103861</v>
      </c>
      <c r="K55" s="25" t="n">
        <v>-22.1090474951982</v>
      </c>
      <c r="L55" s="25" t="n">
        <v>2.98831175228218</v>
      </c>
      <c r="M55" s="25" t="n">
        <v>2.12192047160974</v>
      </c>
      <c r="N55" s="25" t="n">
        <v>1.3</v>
      </c>
      <c r="O55" s="25" t="n">
        <v>68.2953979103861</v>
      </c>
      <c r="P55" s="21">
        <f>K55-F55</f>
        <v/>
      </c>
      <c r="Q55" s="21">
        <f>L55-G55</f>
        <v/>
      </c>
      <c r="R55" s="21">
        <f>M55-H55</f>
        <v/>
      </c>
      <c r="S55">
        <f>IF(AND(ABS(P55)&lt;0.01,IFERROR(ABS(Q55)&lt;0.01,TRUE),IFERROR(ABS(R55)&lt;0.01,TRUE)),"Mutabık","FARK")</f>
        <v/>
      </c>
    </row>
    <row r="56">
      <c r="A56" s="29" t="inlineStr">
        <is>
          <t>Tüccar|Düşük|P90|Yok|Düzeltilmiş</t>
        </is>
      </c>
      <c r="B56" s="29" t="inlineStr">
        <is>
          <t>Tüccar</t>
        </is>
      </c>
      <c r="C56" s="29" t="inlineStr">
        <is>
          <t>Düşük</t>
        </is>
      </c>
      <c r="D56" s="29" t="inlineStr">
        <is>
          <t>P90</t>
        </is>
      </c>
      <c r="E56" s="29" t="inlineStr">
        <is>
          <t>Yok</t>
        </is>
      </c>
      <c r="F56" s="25" t="n">
        <v>-28.52230698941332</v>
      </c>
      <c r="G56" s="25" t="n">
        <v>2.277800754646286</v>
      </c>
      <c r="H56" s="25" t="n">
        <v>1.280783753370385</v>
      </c>
      <c r="I56" s="25" t="n">
        <v>1.3</v>
      </c>
      <c r="J56" s="25" t="n">
        <v>68.2953979103861</v>
      </c>
      <c r="K56" s="25" t="n">
        <v>-28.5223069894133</v>
      </c>
      <c r="L56" s="25" t="n">
        <v>2.27780075464598</v>
      </c>
      <c r="M56" s="25" t="n">
        <v>1.28078375336879</v>
      </c>
      <c r="N56" s="25" t="n">
        <v>1.3</v>
      </c>
      <c r="O56" s="25" t="n">
        <v>68.2953979103861</v>
      </c>
      <c r="P56" s="21">
        <f>K56-F56</f>
        <v/>
      </c>
      <c r="Q56" s="21">
        <f>L56-G56</f>
        <v/>
      </c>
      <c r="R56" s="21">
        <f>M56-H56</f>
        <v/>
      </c>
      <c r="S56">
        <f>IF(AND(ABS(P56)&lt;0.01,IFERROR(ABS(Q56)&lt;0.01,TRUE),IFERROR(ABS(R56)&lt;0.01,TRUE)),"Mutabık","FARK")</f>
        <v/>
      </c>
    </row>
    <row r="57">
      <c r="A57" s="29" t="inlineStr">
        <is>
          <t>Tüccar|Baz|P50|Var|Düzeltilmiş</t>
        </is>
      </c>
      <c r="B57" s="29" t="inlineStr">
        <is>
          <t>Tüccar</t>
        </is>
      </c>
      <c r="C57" s="29" t="inlineStr">
        <is>
          <t>Baz</t>
        </is>
      </c>
      <c r="D57" s="29" t="inlineStr">
        <is>
          <t>P50</t>
        </is>
      </c>
      <c r="E57" s="29" t="inlineStr">
        <is>
          <t>Var</t>
        </is>
      </c>
      <c r="F57" s="25" t="n">
        <v>0.2257303711957838</v>
      </c>
      <c r="G57" s="25" t="n">
        <v>7.03772254074172</v>
      </c>
      <c r="H57" s="25" t="n">
        <v>8.863187076687796</v>
      </c>
      <c r="I57" s="25" t="n">
        <v>1.255715729567354</v>
      </c>
      <c r="J57" s="25" t="n">
        <v>65.56416775631995</v>
      </c>
      <c r="K57" s="25" t="n">
        <v>0.225730371195786</v>
      </c>
      <c r="L57" s="25" t="n">
        <v>7.03772254074172</v>
      </c>
      <c r="M57" s="25" t="n">
        <v>8.86318707668627</v>
      </c>
      <c r="N57" s="25" t="n">
        <v>1.25571572956735</v>
      </c>
      <c r="O57" s="25" t="n">
        <v>65.56416775632</v>
      </c>
      <c r="P57" s="21">
        <f>K57-F57</f>
        <v/>
      </c>
      <c r="Q57" s="21">
        <f>L57-G57</f>
        <v/>
      </c>
      <c r="R57" s="21">
        <f>M57-H57</f>
        <v/>
      </c>
      <c r="S57">
        <f>IF(AND(ABS(P57)&lt;0.01,IFERROR(ABS(Q57)&lt;0.01,TRUE),IFERROR(ABS(R57)&lt;0.01,TRUE)),"Mutabık","FARK")</f>
        <v/>
      </c>
    </row>
    <row r="58">
      <c r="A58" s="29" t="inlineStr">
        <is>
          <t>Tüccar|Baz|P50|Yok|Düzeltilmiş</t>
        </is>
      </c>
      <c r="B58" s="29" t="inlineStr">
        <is>
          <t>Tüccar</t>
        </is>
      </c>
      <c r="C58" s="29" t="inlineStr">
        <is>
          <t>Baz</t>
        </is>
      </c>
      <c r="D58" s="29" t="inlineStr">
        <is>
          <t>P50</t>
        </is>
      </c>
      <c r="E58" s="29" t="inlineStr">
        <is>
          <t>Yok</t>
        </is>
      </c>
      <c r="F58" s="25" t="n">
        <v>-5.659505411954446</v>
      </c>
      <c r="G58" s="25" t="n">
        <v>6.135414640382553</v>
      </c>
      <c r="H58" s="25" t="n">
        <v>6.961171945472644</v>
      </c>
      <c r="I58" s="25" t="n">
        <v>1.255715729567354</v>
      </c>
      <c r="J58" s="25" t="n">
        <v>65.56416775631995</v>
      </c>
      <c r="K58" s="25" t="n">
        <v>-5.65950541195444</v>
      </c>
      <c r="L58" s="25" t="n">
        <v>6.13541464038253</v>
      </c>
      <c r="M58" s="25" t="n">
        <v>6.96117194547264</v>
      </c>
      <c r="N58" s="25" t="n">
        <v>1.25571572956735</v>
      </c>
      <c r="O58" s="25" t="n">
        <v>65.56416775632</v>
      </c>
      <c r="P58" s="21">
        <f>K58-F58</f>
        <v/>
      </c>
      <c r="Q58" s="21">
        <f>L58-G58</f>
        <v/>
      </c>
      <c r="R58" s="21">
        <f>M58-H58</f>
        <v/>
      </c>
      <c r="S58">
        <f>IF(AND(ABS(P58)&lt;0.01,IFERROR(ABS(Q58)&lt;0.01,TRUE),IFERROR(ABS(R58)&lt;0.01,TRUE)),"Mutabık","FARK")</f>
        <v/>
      </c>
    </row>
    <row r="59">
      <c r="A59" s="29" t="inlineStr">
        <is>
          <t>Tüccar|Baz|P90|Var|Düzeltilmiş</t>
        </is>
      </c>
      <c r="B59" s="29" t="inlineStr">
        <is>
          <t>Tüccar</t>
        </is>
      </c>
      <c r="C59" s="29" t="inlineStr">
        <is>
          <t>Baz</t>
        </is>
      </c>
      <c r="D59" s="29" t="inlineStr">
        <is>
          <t>P90</t>
        </is>
      </c>
      <c r="E59" s="29" t="inlineStr">
        <is>
          <t>Var</t>
        </is>
      </c>
      <c r="F59" s="25" t="n">
        <v>-3.587430480438614</v>
      </c>
      <c r="G59" s="25" t="n">
        <v>6.39227198857254</v>
      </c>
      <c r="H59" s="25" t="n">
        <v>7.623326923333973</v>
      </c>
      <c r="I59" s="25" t="n">
        <v>1.3</v>
      </c>
      <c r="J59" s="25" t="n">
        <v>69.03458126140961</v>
      </c>
      <c r="K59" s="25" t="n">
        <v>-3.58743048043862</v>
      </c>
      <c r="L59" s="25" t="n">
        <v>6.39227198857204</v>
      </c>
      <c r="M59" s="25" t="n">
        <v>7.623326923333989</v>
      </c>
      <c r="N59" s="25" t="n">
        <v>1.3</v>
      </c>
      <c r="O59" s="25" t="n">
        <v>69.0345812614096</v>
      </c>
      <c r="P59" s="21">
        <f>K59-F59</f>
        <v/>
      </c>
      <c r="Q59" s="21">
        <f>L59-G59</f>
        <v/>
      </c>
      <c r="R59" s="21">
        <f>M59-H59</f>
        <v/>
      </c>
      <c r="S59">
        <f>IF(AND(ABS(P59)&lt;0.01,IFERROR(ABS(Q59)&lt;0.01,TRUE),IFERROR(ABS(R59)&lt;0.01,TRUE)),"Mutabık","FARK")</f>
        <v/>
      </c>
    </row>
    <row r="60">
      <c r="A60" s="29" t="inlineStr">
        <is>
          <t>Tüccar|Baz|P90|Yok|Düzeltilmiş</t>
        </is>
      </c>
      <c r="B60" s="29" t="inlineStr">
        <is>
          <t>Tüccar</t>
        </is>
      </c>
      <c r="C60" s="29" t="inlineStr">
        <is>
          <t>Baz</t>
        </is>
      </c>
      <c r="D60" s="29" t="inlineStr">
        <is>
          <t>P90</t>
        </is>
      </c>
      <c r="E60" s="29" t="inlineStr">
        <is>
          <t>Yok</t>
        </is>
      </c>
      <c r="F60" s="25" t="n">
        <v>-9.564488062757469</v>
      </c>
      <c r="G60" s="25" t="n">
        <v>5.51948913383219</v>
      </c>
      <c r="H60" s="25" t="n">
        <v>5.92650572312915</v>
      </c>
      <c r="I60" s="25" t="n">
        <v>1.3</v>
      </c>
      <c r="J60" s="25" t="n">
        <v>69.03458126140961</v>
      </c>
      <c r="K60" s="25" t="n">
        <v>-9.564488062757469</v>
      </c>
      <c r="L60" s="25" t="n">
        <v>5.51948913383219</v>
      </c>
      <c r="M60" s="25" t="n">
        <v>5.92650572312915</v>
      </c>
      <c r="N60" s="25" t="n">
        <v>1.3</v>
      </c>
      <c r="O60" s="25" t="n">
        <v>69.0345812614096</v>
      </c>
      <c r="P60" s="21">
        <f>K60-F60</f>
        <v/>
      </c>
      <c r="Q60" s="21">
        <f>L60-G60</f>
        <v/>
      </c>
      <c r="R60" s="21">
        <f>M60-H60</f>
        <v/>
      </c>
      <c r="S60">
        <f>IF(AND(ABS(P60)&lt;0.01,IFERROR(ABS(Q60)&lt;0.01,TRUE),IFERROR(ABS(R60)&lt;0.01,TRUE)),"Mutabık","FARK")</f>
        <v/>
      </c>
    </row>
    <row r="61">
      <c r="A61" s="29" t="inlineStr">
        <is>
          <t>Tüccar|Yüksek|P50|Var|Düzeltilmiş</t>
        </is>
      </c>
      <c r="B61" s="29" t="inlineStr">
        <is>
          <t>Tüccar</t>
        </is>
      </c>
      <c r="C61" s="29" t="inlineStr">
        <is>
          <t>Yüksek</t>
        </is>
      </c>
      <c r="D61" s="29" t="inlineStr">
        <is>
          <t>P50</t>
        </is>
      </c>
      <c r="E61" s="29" t="inlineStr">
        <is>
          <t>Var</t>
        </is>
      </c>
      <c r="F61" s="25" t="n">
        <v>18.86131235194717</v>
      </c>
      <c r="G61" s="25" t="n">
        <v>9.954737053587104</v>
      </c>
      <c r="H61" s="25" t="n">
        <v>18.501713615471</v>
      </c>
      <c r="I61" s="25" t="n">
        <v>1.548521054457129</v>
      </c>
      <c r="J61" s="25" t="n">
        <v>66.3684909842018</v>
      </c>
      <c r="K61" s="25" t="n">
        <v>18.8613123519472</v>
      </c>
      <c r="L61" s="25" t="n">
        <v>9.95473705358711</v>
      </c>
      <c r="M61" s="25" t="n">
        <v>18.5017136154709</v>
      </c>
      <c r="N61" s="25" t="n">
        <v>1.54852105445713</v>
      </c>
      <c r="O61" s="25" t="n">
        <v>66.3684909842018</v>
      </c>
      <c r="P61" s="21">
        <f>K61-F61</f>
        <v/>
      </c>
      <c r="Q61" s="21">
        <f>L61-G61</f>
        <v/>
      </c>
      <c r="R61" s="21">
        <f>M61-H61</f>
        <v/>
      </c>
      <c r="S61">
        <f>IF(AND(ABS(P61)&lt;0.01,IFERROR(ABS(Q61)&lt;0.01,TRUE),IFERROR(ABS(R61)&lt;0.01,TRUE)),"Mutabık","FARK")</f>
        <v/>
      </c>
    </row>
    <row r="62">
      <c r="A62" s="29" t="inlineStr">
        <is>
          <t>Tüccar|Yüksek|P50|Yok|Düzeltilmiş</t>
        </is>
      </c>
      <c r="B62" s="29" t="inlineStr">
        <is>
          <t>Tüccar</t>
        </is>
      </c>
      <c r="C62" s="29" t="inlineStr">
        <is>
          <t>Yüksek</t>
        </is>
      </c>
      <c r="D62" s="29" t="inlineStr">
        <is>
          <t>P50</t>
        </is>
      </c>
      <c r="E62" s="29" t="inlineStr">
        <is>
          <t>Yok</t>
        </is>
      </c>
      <c r="F62" s="25" t="n">
        <v>13.37204149146249</v>
      </c>
      <c r="G62" s="25" t="n">
        <v>8.919862853661787</v>
      </c>
      <c r="H62" s="25" t="n">
        <v>13.88279938364133</v>
      </c>
      <c r="I62" s="25" t="n">
        <v>1.548521054457129</v>
      </c>
      <c r="J62" s="25" t="n">
        <v>66.3684909842018</v>
      </c>
      <c r="K62" s="25" t="n">
        <v>13.3720414914625</v>
      </c>
      <c r="L62" s="25" t="n">
        <v>8.91986285366173</v>
      </c>
      <c r="M62" s="25" t="n">
        <v>13.882799383635</v>
      </c>
      <c r="N62" s="25" t="n">
        <v>1.54852105445713</v>
      </c>
      <c r="O62" s="25" t="n">
        <v>66.3684909842018</v>
      </c>
      <c r="P62" s="21">
        <f>K62-F62</f>
        <v/>
      </c>
      <c r="Q62" s="21">
        <f>L62-G62</f>
        <v/>
      </c>
      <c r="R62" s="21">
        <f>M62-H62</f>
        <v/>
      </c>
      <c r="S62">
        <f>IF(AND(ABS(P62)&lt;0.01,IFERROR(ABS(Q62)&lt;0.01,TRUE),IFERROR(ABS(R62)&lt;0.01,TRUE)),"Mutabık","FARK")</f>
        <v/>
      </c>
    </row>
    <row r="63">
      <c r="A63" s="29" t="inlineStr">
        <is>
          <t>Tüccar|Yüksek|P90|Var|Düzeltilmiş</t>
        </is>
      </c>
      <c r="B63" s="29" t="inlineStr">
        <is>
          <t>Tüccar</t>
        </is>
      </c>
      <c r="C63" s="29" t="inlineStr">
        <is>
          <t>Yüksek</t>
        </is>
      </c>
      <c r="D63" s="29" t="inlineStr">
        <is>
          <t>P90</t>
        </is>
      </c>
      <c r="E63" s="29" t="inlineStr">
        <is>
          <t>Var</t>
        </is>
      </c>
      <c r="F63" s="25" t="n">
        <v>14.59257199401915</v>
      </c>
      <c r="G63" s="25" t="n">
        <v>9.322777506400747</v>
      </c>
      <c r="H63" s="25" t="n">
        <v>16.32845374557005</v>
      </c>
      <c r="I63" s="25" t="n">
        <v>1.482424231899671</v>
      </c>
      <c r="J63" s="25" t="n">
        <v>69.83062487020415</v>
      </c>
      <c r="K63" s="25" t="n">
        <v>14.5925719940192</v>
      </c>
      <c r="L63" s="25" t="n">
        <v>9.322777506400321</v>
      </c>
      <c r="M63" s="25" t="n">
        <v>16.32845374557</v>
      </c>
      <c r="N63" s="25" t="n">
        <v>1.48242423189967</v>
      </c>
      <c r="O63" s="25" t="n">
        <v>69.8306248702042</v>
      </c>
      <c r="P63" s="21">
        <f>K63-F63</f>
        <v/>
      </c>
      <c r="Q63" s="21">
        <f>L63-G63</f>
        <v/>
      </c>
      <c r="R63" s="21">
        <f>M63-H63</f>
        <v/>
      </c>
      <c r="S63">
        <f>IF(AND(ABS(P63)&lt;0.01,IFERROR(ABS(Q63)&lt;0.01,TRUE),IFERROR(ABS(R63)&lt;0.01,TRUE)),"Mutabık","FARK")</f>
        <v/>
      </c>
    </row>
    <row r="64">
      <c r="A64" s="29" t="inlineStr">
        <is>
          <t>Tüccar|Yüksek|P90|Yok|Düzeltilmiş</t>
        </is>
      </c>
      <c r="B64" s="29" t="inlineStr">
        <is>
          <t>Tüccar</t>
        </is>
      </c>
      <c r="C64" s="29" t="inlineStr">
        <is>
          <t>Yüksek</t>
        </is>
      </c>
      <c r="D64" s="29" t="inlineStr">
        <is>
          <t>P90</t>
        </is>
      </c>
      <c r="E64" s="29" t="inlineStr">
        <is>
          <t>Yok</t>
        </is>
      </c>
      <c r="F64" s="25" t="n">
        <v>9.039919454224473</v>
      </c>
      <c r="G64" s="25" t="n">
        <v>8.318210837916739</v>
      </c>
      <c r="H64" s="25" t="n">
        <v>12.31732246501404</v>
      </c>
      <c r="I64" s="25" t="n">
        <v>1.482424231899671</v>
      </c>
      <c r="J64" s="25" t="n">
        <v>69.83062487020415</v>
      </c>
      <c r="K64" s="25" t="n">
        <v>9.03991945422448</v>
      </c>
      <c r="L64" s="25" t="n">
        <v>8.318210837916739</v>
      </c>
      <c r="M64" s="25" t="n">
        <v>12.317322465014</v>
      </c>
      <c r="N64" s="25" t="n">
        <v>1.48242423189967</v>
      </c>
      <c r="O64" s="25" t="n">
        <v>69.8306248702042</v>
      </c>
      <c r="P64" s="21">
        <f>K64-F64</f>
        <v/>
      </c>
      <c r="Q64" s="21">
        <f>L64-G64</f>
        <v/>
      </c>
      <c r="R64" s="21">
        <f>M64-H64</f>
        <v/>
      </c>
      <c r="S64">
        <f>IF(AND(ABS(P64)&lt;0.01,IFERROR(ABS(Q64)&lt;0.01,TRUE),IFERROR(ABS(R64)&lt;0.01,TRUE)),"Mutabık","FARK")</f>
        <v/>
      </c>
    </row>
    <row r="65">
      <c r="A65" s="29" t="inlineStr">
        <is>
          <t>PPA|Düşük|P50|Var|Düzeltilmiş</t>
        </is>
      </c>
      <c r="B65" s="29" t="inlineStr">
        <is>
          <t>PPA</t>
        </is>
      </c>
      <c r="C65" s="29" t="inlineStr">
        <is>
          <t>Düşük</t>
        </is>
      </c>
      <c r="D65" s="29" t="inlineStr">
        <is>
          <t>P50</t>
        </is>
      </c>
      <c r="E65" s="29" t="inlineStr">
        <is>
          <t>Var</t>
        </is>
      </c>
      <c r="F65" s="25" t="n">
        <v>-16.46281846072084</v>
      </c>
      <c r="G65" s="25" t="n">
        <v>4.01976429320835</v>
      </c>
      <c r="H65" s="25" t="n">
        <v>3.38239452000858</v>
      </c>
      <c r="I65" s="25" t="n">
        <v>1.170885729651993</v>
      </c>
      <c r="J65" s="25" t="n">
        <v>64.02154205201575</v>
      </c>
      <c r="K65" s="25" t="n">
        <v>-16.4628184607208</v>
      </c>
      <c r="L65" s="25" t="n">
        <v>4.01976429320833</v>
      </c>
      <c r="M65" s="25" t="n">
        <v>3.38239452000857</v>
      </c>
      <c r="N65" s="25" t="n">
        <v>1.17088572965199</v>
      </c>
      <c r="O65" s="25" t="n">
        <v>64.0215420520158</v>
      </c>
      <c r="P65" s="21">
        <f>K65-F65</f>
        <v/>
      </c>
      <c r="Q65" s="21">
        <f>L65-G65</f>
        <v/>
      </c>
      <c r="R65" s="21">
        <f>M65-H65</f>
        <v/>
      </c>
      <c r="S65">
        <f>IF(AND(ABS(P65)&lt;0.01,IFERROR(ABS(Q65)&lt;0.01,TRUE),IFERROR(ABS(R65)&lt;0.01,TRUE)),"Mutabık","FARK")</f>
        <v/>
      </c>
    </row>
    <row r="66">
      <c r="A66" s="29" t="inlineStr">
        <is>
          <t>PPA|Düşük|P50|Yok|Düzeltilmiş</t>
        </is>
      </c>
      <c r="B66" s="29" t="inlineStr">
        <is>
          <t>PPA</t>
        </is>
      </c>
      <c r="C66" s="29" t="inlineStr">
        <is>
          <t>Düşük</t>
        </is>
      </c>
      <c r="D66" s="29" t="inlineStr">
        <is>
          <t>P50</t>
        </is>
      </c>
      <c r="E66" s="29" t="inlineStr">
        <is>
          <t>Yok</t>
        </is>
      </c>
      <c r="F66" s="25" t="n">
        <v>-22.74641675240996</v>
      </c>
      <c r="G66" s="25" t="n">
        <v>3.244747634127554</v>
      </c>
      <c r="H66" s="25" t="n">
        <v>2.276495502568043</v>
      </c>
      <c r="I66" s="25" t="n">
        <v>1.170885729651993</v>
      </c>
      <c r="J66" s="25" t="n">
        <v>64.02154205201575</v>
      </c>
      <c r="K66" s="25" t="n">
        <v>-22.74641675241</v>
      </c>
      <c r="L66" s="25" t="n">
        <v>3.24474763412756</v>
      </c>
      <c r="M66" s="25" t="n">
        <v>2.27649550256805</v>
      </c>
      <c r="N66" s="25" t="n">
        <v>1.17088572965199</v>
      </c>
      <c r="O66" s="25" t="n">
        <v>64.0215420520158</v>
      </c>
      <c r="P66" s="21">
        <f>K66-F66</f>
        <v/>
      </c>
      <c r="Q66" s="21">
        <f>L66-G66</f>
        <v/>
      </c>
      <c r="R66" s="21">
        <f>M66-H66</f>
        <v/>
      </c>
      <c r="S66">
        <f>IF(AND(ABS(P66)&lt;0.01,IFERROR(ABS(Q66)&lt;0.01,TRUE),IFERROR(ABS(R66)&lt;0.01,TRUE)),"Mutabık","FARK")</f>
        <v/>
      </c>
    </row>
    <row r="67">
      <c r="A67" s="29" t="inlineStr">
        <is>
          <t>PPA|Düşük|P90|Var|Düzeltilmiş</t>
        </is>
      </c>
      <c r="B67" s="29" t="inlineStr">
        <is>
          <t>PPA</t>
        </is>
      </c>
      <c r="C67" s="29" t="inlineStr">
        <is>
          <t>Düşük</t>
        </is>
      </c>
      <c r="D67" s="29" t="inlineStr">
        <is>
          <t>P90</t>
        </is>
      </c>
      <c r="E67" s="29" t="inlineStr">
        <is>
          <t>Var</t>
        </is>
      </c>
      <c r="F67" s="25" t="n">
        <v>-19.75813606901668</v>
      </c>
      <c r="G67" s="25" t="n">
        <v>3.372195431681979</v>
      </c>
      <c r="H67" s="25" t="n">
        <v>2.314592499137269</v>
      </c>
      <c r="I67" s="25" t="n">
        <v>1.212220870302425</v>
      </c>
      <c r="J67" s="25" t="n">
        <v>67.50543005923264</v>
      </c>
      <c r="K67" s="25" t="n">
        <v>-19.7581360690167</v>
      </c>
      <c r="L67" s="25" t="n">
        <v>3.37219543168198</v>
      </c>
      <c r="M67" s="25" t="n">
        <v>2.31459249913726</v>
      </c>
      <c r="N67" s="25" t="n">
        <v>1.21222087030243</v>
      </c>
      <c r="O67" s="25" t="n">
        <v>67.50543005923259</v>
      </c>
      <c r="P67" s="21">
        <f>K67-F67</f>
        <v/>
      </c>
      <c r="Q67" s="21">
        <f>L67-G67</f>
        <v/>
      </c>
      <c r="R67" s="21">
        <f>M67-H67</f>
        <v/>
      </c>
      <c r="S67">
        <f>IF(AND(ABS(P67)&lt;0.01,IFERROR(ABS(Q67)&lt;0.01,TRUE),IFERROR(ABS(R67)&lt;0.01,TRUE)),"Mutabık","FARK")</f>
        <v/>
      </c>
    </row>
    <row r="68">
      <c r="A68" s="29" t="inlineStr">
        <is>
          <t>PPA|Düşük|P90|Yok|Düzeltilmiş</t>
        </is>
      </c>
      <c r="B68" s="29" t="inlineStr">
        <is>
          <t>PPA</t>
        </is>
      </c>
      <c r="C68" s="29" t="inlineStr">
        <is>
          <t>Düşük</t>
        </is>
      </c>
      <c r="D68" s="29" t="inlineStr">
        <is>
          <t>P90</t>
        </is>
      </c>
      <c r="E68" s="29" t="inlineStr">
        <is>
          <t>Yok</t>
        </is>
      </c>
      <c r="F68" s="25" t="n">
        <v>-26.12261960841258</v>
      </c>
      <c r="G68" s="25" t="n">
        <v>2.627192089450403</v>
      </c>
      <c r="H68" s="25" t="n">
        <v>1.329885931510144</v>
      </c>
      <c r="I68" s="25" t="n">
        <v>1.212220870302425</v>
      </c>
      <c r="J68" s="25" t="n">
        <v>67.50543005923264</v>
      </c>
      <c r="K68" s="25" t="n">
        <v>-26.1226196084126</v>
      </c>
      <c r="L68" s="25" t="n">
        <v>2.62719208945041</v>
      </c>
      <c r="M68" s="25" t="n">
        <v>1.32988593150717</v>
      </c>
      <c r="N68" s="25" t="n">
        <v>1.21222087030243</v>
      </c>
      <c r="O68" s="25" t="n">
        <v>67.50543005923259</v>
      </c>
      <c r="P68" s="21">
        <f>K68-F68</f>
        <v/>
      </c>
      <c r="Q68" s="21">
        <f>L68-G68</f>
        <v/>
      </c>
      <c r="R68" s="21">
        <f>M68-H68</f>
        <v/>
      </c>
      <c r="S68">
        <f>IF(AND(ABS(P68)&lt;0.01,IFERROR(ABS(Q68)&lt;0.01,TRUE),IFERROR(ABS(R68)&lt;0.01,TRUE)),"Mutabık","FARK")</f>
        <v/>
      </c>
    </row>
    <row r="69">
      <c r="A69" s="29" t="inlineStr">
        <is>
          <t>PPA|Baz|P50|Var|Düzeltilmiş</t>
        </is>
      </c>
      <c r="B69" s="29" t="inlineStr">
        <is>
          <t>PPA</t>
        </is>
      </c>
      <c r="C69" s="29" t="inlineStr">
        <is>
          <t>Baz</t>
        </is>
      </c>
      <c r="D69" s="29" t="inlineStr">
        <is>
          <t>P50</t>
        </is>
      </c>
      <c r="E69" s="29" t="inlineStr">
        <is>
          <t>Var</t>
        </is>
      </c>
      <c r="F69" s="25" t="n">
        <v>-4.529202501289848</v>
      </c>
      <c r="G69" s="25" t="n">
        <v>6.258520037912019</v>
      </c>
      <c r="H69" s="25" t="n">
        <v>7.689497766901299</v>
      </c>
      <c r="I69" s="25" t="n">
        <v>1.152078463179506</v>
      </c>
      <c r="J69" s="25" t="n">
        <v>64.44415679050518</v>
      </c>
      <c r="K69" s="25" t="n">
        <v>-4.52920250128985</v>
      </c>
      <c r="L69" s="25" t="n">
        <v>6.25852003791188</v>
      </c>
      <c r="M69" s="25" t="n">
        <v>7.6894977669013</v>
      </c>
      <c r="N69" s="25" t="n">
        <v>1.15207846317951</v>
      </c>
      <c r="O69" s="25" t="n">
        <v>64.4441567905052</v>
      </c>
      <c r="P69" s="21">
        <f>K69-F69</f>
        <v/>
      </c>
      <c r="Q69" s="21">
        <f>L69-G69</f>
        <v/>
      </c>
      <c r="R69" s="21">
        <f>M69-H69</f>
        <v/>
      </c>
      <c r="S69">
        <f>IF(AND(ABS(P69)&lt;0.01,IFERROR(ABS(Q69)&lt;0.01,TRUE),IFERROR(ABS(R69)&lt;0.01,TRUE)),"Mutabık","FARK")</f>
        <v/>
      </c>
    </row>
    <row r="70">
      <c r="A70" s="29" t="inlineStr">
        <is>
          <t>PPA|Baz|P50|Yok|Düzeltilmiş</t>
        </is>
      </c>
      <c r="B70" s="29" t="inlineStr">
        <is>
          <t>PPA</t>
        </is>
      </c>
      <c r="C70" s="29" t="inlineStr">
        <is>
          <t>Baz</t>
        </is>
      </c>
      <c r="D70" s="29" t="inlineStr">
        <is>
          <t>P50</t>
        </is>
      </c>
      <c r="E70" s="29" t="inlineStr">
        <is>
          <t>Yok</t>
        </is>
      </c>
      <c r="F70" s="25" t="n">
        <v>-10.61667325205506</v>
      </c>
      <c r="G70" s="25" t="n">
        <v>5.411196717298028</v>
      </c>
      <c r="H70" s="25" t="n">
        <v>5.842655642826477</v>
      </c>
      <c r="I70" s="25" t="n">
        <v>1.152078463179506</v>
      </c>
      <c r="J70" s="25" t="n">
        <v>64.44415679050518</v>
      </c>
      <c r="K70" s="25" t="n">
        <v>-10.6166732520551</v>
      </c>
      <c r="L70" s="25" t="n">
        <v>5.41119671729803</v>
      </c>
      <c r="M70" s="25" t="n">
        <v>5.84265564282647</v>
      </c>
      <c r="N70" s="25" t="n">
        <v>1.15207846317951</v>
      </c>
      <c r="O70" s="25" t="n">
        <v>64.4441567905052</v>
      </c>
      <c r="P70" s="21">
        <f>K70-F70</f>
        <v/>
      </c>
      <c r="Q70" s="21">
        <f>L70-G70</f>
        <v/>
      </c>
      <c r="R70" s="21">
        <f>M70-H70</f>
        <v/>
      </c>
      <c r="S70">
        <f>IF(AND(ABS(P70)&lt;0.01,IFERROR(ABS(Q70)&lt;0.01,TRUE),IFERROR(ABS(R70)&lt;0.01,TRUE)),"Mutabık","FARK")</f>
        <v/>
      </c>
    </row>
    <row r="71">
      <c r="A71" s="29" t="inlineStr">
        <is>
          <t>PPA|Baz|P90|Var|Düzeltilmiş</t>
        </is>
      </c>
      <c r="B71" s="29" t="inlineStr">
        <is>
          <t>PPA</t>
        </is>
      </c>
      <c r="C71" s="29" t="inlineStr">
        <is>
          <t>Baz</t>
        </is>
      </c>
      <c r="D71" s="29" t="inlineStr">
        <is>
          <t>P90</t>
        </is>
      </c>
      <c r="E71" s="29" t="inlineStr">
        <is>
          <t>Var</t>
        </is>
      </c>
      <c r="F71" s="25" t="n">
        <v>-8.276360313128768</v>
      </c>
      <c r="G71" s="25" t="n">
        <v>5.626910592373246</v>
      </c>
      <c r="H71" s="25" t="n">
        <v>6.37802326961242</v>
      </c>
      <c r="I71" s="25" t="n">
        <v>1.224950540435622</v>
      </c>
      <c r="J71" s="25" t="n">
        <v>67.92297114670903</v>
      </c>
      <c r="K71" s="25" t="n">
        <v>-8.27636031312877</v>
      </c>
      <c r="L71" s="25" t="n">
        <v>5.62691059237324</v>
      </c>
      <c r="M71" s="25" t="n">
        <v>6.37802326960515</v>
      </c>
      <c r="N71" s="25" t="n">
        <v>1.22495054043562</v>
      </c>
      <c r="O71" s="25" t="n">
        <v>67.922971146709</v>
      </c>
      <c r="P71" s="21">
        <f>K71-F71</f>
        <v/>
      </c>
      <c r="Q71" s="21">
        <f>L71-G71</f>
        <v/>
      </c>
      <c r="R71" s="21">
        <f>M71-H71</f>
        <v/>
      </c>
      <c r="S71">
        <f>IF(AND(ABS(P71)&lt;0.01,IFERROR(ABS(Q71)&lt;0.01,TRUE),IFERROR(ABS(R71)&lt;0.01,TRUE)),"Mutabık","FARK")</f>
        <v/>
      </c>
    </row>
    <row r="72">
      <c r="A72" s="29" t="inlineStr">
        <is>
          <t>PPA|Baz|P90|Yok|Düzeltilmiş</t>
        </is>
      </c>
      <c r="B72" s="29" t="inlineStr">
        <is>
          <t>PPA</t>
        </is>
      </c>
      <c r="C72" s="29" t="inlineStr">
        <is>
          <t>Baz</t>
        </is>
      </c>
      <c r="D72" s="29" t="inlineStr">
        <is>
          <t>P90</t>
        </is>
      </c>
      <c r="E72" s="29" t="inlineStr">
        <is>
          <t>Yok</t>
        </is>
      </c>
      <c r="F72" s="25" t="n">
        <v>-14.45057913317008</v>
      </c>
      <c r="G72" s="25" t="n">
        <v>4.809193793418698</v>
      </c>
      <c r="H72" s="25" t="n">
        <v>4.761663117527027</v>
      </c>
      <c r="I72" s="25" t="n">
        <v>1.224950540435622</v>
      </c>
      <c r="J72" s="25" t="n">
        <v>67.92297114670903</v>
      </c>
      <c r="K72" s="25" t="n">
        <v>-14.4505791331701</v>
      </c>
      <c r="L72" s="25" t="n">
        <v>4.809193793418061</v>
      </c>
      <c r="M72" s="25" t="n">
        <v>4.76166311751448</v>
      </c>
      <c r="N72" s="25" t="n">
        <v>1.22495054043562</v>
      </c>
      <c r="O72" s="25" t="n">
        <v>67.922971146709</v>
      </c>
      <c r="P72" s="21">
        <f>K72-F72</f>
        <v/>
      </c>
      <c r="Q72" s="21">
        <f>L72-G72</f>
        <v/>
      </c>
      <c r="R72" s="21">
        <f>M72-H72</f>
        <v/>
      </c>
      <c r="S72">
        <f>IF(AND(ABS(P72)&lt;0.01,IFERROR(ABS(Q72)&lt;0.01,TRUE),IFERROR(ABS(R72)&lt;0.01,TRUE)),"Mutabık","FARK")</f>
        <v/>
      </c>
    </row>
    <row r="73">
      <c r="A73" s="29" t="inlineStr">
        <is>
          <t>PPA|Yüksek|P50|Var|Düzeltilmiş</t>
        </is>
      </c>
      <c r="B73" s="29" t="inlineStr">
        <is>
          <t>PPA</t>
        </is>
      </c>
      <c r="C73" s="29" t="inlineStr">
        <is>
          <t>Yüksek</t>
        </is>
      </c>
      <c r="D73" s="29" t="inlineStr">
        <is>
          <t>P50</t>
        </is>
      </c>
      <c r="E73" s="29" t="inlineStr">
        <is>
          <t>Var</t>
        </is>
      </c>
      <c r="F73" s="25" t="n">
        <v>8.185160260856021</v>
      </c>
      <c r="G73" s="25" t="n">
        <v>8.237349712639707</v>
      </c>
      <c r="H73" s="25" t="n">
        <v>12.88934451511449</v>
      </c>
      <c r="I73" s="25" t="n">
        <v>1.314661847109485</v>
      </c>
      <c r="J73" s="25" t="n">
        <v>64.89928035503226</v>
      </c>
      <c r="K73" s="25" t="n">
        <v>8.18516026085603</v>
      </c>
      <c r="L73" s="25" t="n">
        <v>8.237349712639711</v>
      </c>
      <c r="M73" s="25" t="n">
        <v>12.8893445151119</v>
      </c>
      <c r="N73" s="25" t="n">
        <v>1.31466184710948</v>
      </c>
      <c r="O73" s="25" t="n">
        <v>64.8992803550323</v>
      </c>
      <c r="P73" s="21">
        <f>K73-F73</f>
        <v/>
      </c>
      <c r="Q73" s="21">
        <f>L73-G73</f>
        <v/>
      </c>
      <c r="R73" s="21">
        <f>M73-H73</f>
        <v/>
      </c>
      <c r="S73">
        <f>IF(AND(ABS(P73)&lt;0.01,IFERROR(ABS(Q73)&lt;0.01,TRUE),IFERROR(ABS(R73)&lt;0.01,TRUE)),"Mutabık","FARK")</f>
        <v/>
      </c>
    </row>
    <row r="74">
      <c r="A74" s="29" t="inlineStr">
        <is>
          <t>PPA|Yüksek|P50|Yok|Düzeltilmiş</t>
        </is>
      </c>
      <c r="B74" s="29" t="inlineStr">
        <is>
          <t>PPA</t>
        </is>
      </c>
      <c r="C74" s="29" t="inlineStr">
        <is>
          <t>Yüksek</t>
        </is>
      </c>
      <c r="D74" s="29" t="inlineStr">
        <is>
          <t>P50</t>
        </is>
      </c>
      <c r="E74" s="29" t="inlineStr">
        <is>
          <t>Yok</t>
        </is>
      </c>
      <c r="F74" s="25" t="n">
        <v>2.308903784931941</v>
      </c>
      <c r="G74" s="25" t="n">
        <v>7.319700752407121</v>
      </c>
      <c r="H74" s="25" t="n">
        <v>9.801692760571756</v>
      </c>
      <c r="I74" s="25" t="n">
        <v>1.314661847109485</v>
      </c>
      <c r="J74" s="25" t="n">
        <v>64.89928035503226</v>
      </c>
      <c r="K74" s="25" t="n">
        <v>2.30890378493195</v>
      </c>
      <c r="L74" s="25" t="n">
        <v>7.31970075240712</v>
      </c>
      <c r="M74" s="25" t="n">
        <v>9.801692760571761</v>
      </c>
      <c r="N74" s="25" t="n">
        <v>1.31466184710948</v>
      </c>
      <c r="O74" s="25" t="n">
        <v>64.8992803550323</v>
      </c>
      <c r="P74" s="21">
        <f>K74-F74</f>
        <v/>
      </c>
      <c r="Q74" s="21">
        <f>L74-G74</f>
        <v/>
      </c>
      <c r="R74" s="21">
        <f>M74-H74</f>
        <v/>
      </c>
      <c r="S74">
        <f>IF(AND(ABS(P74)&lt;0.01,IFERROR(ABS(Q74)&lt;0.01,TRUE),IFERROR(ABS(R74)&lt;0.01,TRUE)),"Mutabık","FARK")</f>
        <v/>
      </c>
    </row>
    <row r="75">
      <c r="A75" s="29" t="inlineStr">
        <is>
          <t>PPA|Yüksek|P90|Var|Düzeltilmiş</t>
        </is>
      </c>
      <c r="B75" s="29" t="inlineStr">
        <is>
          <t>PPA</t>
        </is>
      </c>
      <c r="C75" s="29" t="inlineStr">
        <is>
          <t>Yüksek</t>
        </is>
      </c>
      <c r="D75" s="29" t="inlineStr">
        <is>
          <t>P90</t>
        </is>
      </c>
      <c r="E75" s="29" t="inlineStr">
        <is>
          <t>Var</t>
        </is>
      </c>
      <c r="F75" s="25" t="n">
        <v>4.041752797976656</v>
      </c>
      <c r="G75" s="25" t="n">
        <v>7.6194891001646</v>
      </c>
      <c r="H75" s="25" t="n">
        <v>11.25335917177278</v>
      </c>
      <c r="I75" s="25" t="n">
        <v>1.36063862849955</v>
      </c>
      <c r="J75" s="25" t="n">
        <v>68.37263077937592</v>
      </c>
      <c r="K75" s="25" t="n">
        <v>4.04175279797666</v>
      </c>
      <c r="L75" s="25" t="n">
        <v>7.619489100164591</v>
      </c>
      <c r="M75" s="25" t="n">
        <v>11.2533591717728</v>
      </c>
      <c r="N75" s="25" t="n">
        <v>1.36063862849955</v>
      </c>
      <c r="O75" s="25" t="n">
        <v>68.3726307793759</v>
      </c>
      <c r="P75" s="21">
        <f>K75-F75</f>
        <v/>
      </c>
      <c r="Q75" s="21">
        <f>L75-G75</f>
        <v/>
      </c>
      <c r="R75" s="21">
        <f>M75-H75</f>
        <v/>
      </c>
      <c r="S75">
        <f>IF(AND(ABS(P75)&lt;0.01,IFERROR(ABS(Q75)&lt;0.01,TRUE),IFERROR(ABS(R75)&lt;0.01,TRUE)),"Mutabık","FARK")</f>
        <v/>
      </c>
    </row>
    <row r="76">
      <c r="A76" s="29" t="inlineStr">
        <is>
          <t>PPA|Yüksek|P90|Yok|Düzeltilmiş</t>
        </is>
      </c>
      <c r="B76" s="29" t="inlineStr">
        <is>
          <t>PPA</t>
        </is>
      </c>
      <c r="C76" s="29" t="inlineStr">
        <is>
          <t>Yüksek</t>
        </is>
      </c>
      <c r="D76" s="29" t="inlineStr">
        <is>
          <t>P90</t>
        </is>
      </c>
      <c r="E76" s="29" t="inlineStr">
        <is>
          <t>Yok</t>
        </is>
      </c>
      <c r="F76" s="25" t="n">
        <v>-1.92756555506742</v>
      </c>
      <c r="G76" s="25" t="n">
        <v>6.729513364436491</v>
      </c>
      <c r="H76" s="25" t="n">
        <v>8.56112932112455</v>
      </c>
      <c r="I76" s="25" t="n">
        <v>1.36063862849955</v>
      </c>
      <c r="J76" s="25" t="n">
        <v>68.37263077937592</v>
      </c>
      <c r="K76" s="25" t="n">
        <v>-1.9275655550674</v>
      </c>
      <c r="L76" s="25" t="n">
        <v>6.7295133644365</v>
      </c>
      <c r="M76" s="25" t="n">
        <v>8.56112932112428</v>
      </c>
      <c r="N76" s="25" t="n">
        <v>1.36063862849955</v>
      </c>
      <c r="O76" s="25" t="n">
        <v>68.3726307793759</v>
      </c>
      <c r="P76" s="21">
        <f>K76-F76</f>
        <v/>
      </c>
      <c r="Q76" s="21">
        <f>L76-G76</f>
        <v/>
      </c>
      <c r="R76" s="21">
        <f>M76-H76</f>
        <v/>
      </c>
      <c r="S76">
        <f>IF(AND(ABS(P76)&lt;0.01,IFERROR(ABS(Q76)&lt;0.01,TRUE),IFERROR(ABS(R76)&lt;0.01,TRUE)),"Mutabık","FARK")</f>
        <v/>
      </c>
    </row>
    <row r="77">
      <c r="A77" s="29" t="inlineStr">
        <is>
          <t>YEKDEM nominal|Düşük|P50|Var|Düzeltilmiş</t>
        </is>
      </c>
      <c r="B77" s="29" t="inlineStr">
        <is>
          <t>YEKDEM nominal</t>
        </is>
      </c>
      <c r="C77" s="29" t="inlineStr">
        <is>
          <t>Düşük</t>
        </is>
      </c>
      <c r="D77" s="29" t="inlineStr">
        <is>
          <t>P50</t>
        </is>
      </c>
      <c r="E77" s="29" t="inlineStr">
        <is>
          <t>Var</t>
        </is>
      </c>
      <c r="F77" s="25" t="n">
        <v>-17.82414703356803</v>
      </c>
      <c r="G77" s="25" t="n">
        <v>3.774294022496438</v>
      </c>
      <c r="H77" s="25" t="n">
        <v>3.223308823533422</v>
      </c>
      <c r="I77" s="25" t="n">
        <v>1.262503240056762</v>
      </c>
      <c r="J77" s="25" t="n">
        <v>63.81450272069927</v>
      </c>
      <c r="K77" s="25" t="n">
        <v>-17.824147033568</v>
      </c>
      <c r="L77" s="25" t="n">
        <v>3.77429402249541</v>
      </c>
      <c r="M77" s="25" t="n">
        <v>3.22330882353341</v>
      </c>
      <c r="N77" s="25" t="n">
        <v>1.26250324005676</v>
      </c>
      <c r="O77" s="25" t="n">
        <v>63.8145027206993</v>
      </c>
      <c r="P77" s="21">
        <f>K77-F77</f>
        <v/>
      </c>
      <c r="Q77" s="21">
        <f>L77-G77</f>
        <v/>
      </c>
      <c r="R77" s="21">
        <f>M77-H77</f>
        <v/>
      </c>
      <c r="S77">
        <f>IF(AND(ABS(P77)&lt;0.01,IFERROR(ABS(Q77)&lt;0.01,TRUE),IFERROR(ABS(R77)&lt;0.01,TRUE)),"Mutabık","FARK")</f>
        <v/>
      </c>
    </row>
    <row r="78">
      <c r="A78" s="29" t="inlineStr">
        <is>
          <t>YEKDEM nominal|Düşük|P50|Yok|Düzeltilmiş</t>
        </is>
      </c>
      <c r="B78" s="29" t="inlineStr">
        <is>
          <t>YEKDEM nominal</t>
        </is>
      </c>
      <c r="C78" s="29" t="inlineStr">
        <is>
          <t>Düşük</t>
        </is>
      </c>
      <c r="D78" s="29" t="inlineStr">
        <is>
          <t>P50</t>
        </is>
      </c>
      <c r="E78" s="29" t="inlineStr">
        <is>
          <t>Yok</t>
        </is>
      </c>
      <c r="F78" s="25" t="n">
        <v>-24.06591993598182</v>
      </c>
      <c r="G78" s="25" t="n">
        <v>3.025679675849602</v>
      </c>
      <c r="H78" s="25" t="n">
        <v>2.271672140183389</v>
      </c>
      <c r="I78" s="25" t="n">
        <v>1.262503240056762</v>
      </c>
      <c r="J78" s="25" t="n">
        <v>63.81450272069927</v>
      </c>
      <c r="K78" s="25" t="n">
        <v>-24.0659199359818</v>
      </c>
      <c r="L78" s="25" t="n">
        <v>3.02567967584961</v>
      </c>
      <c r="M78" s="25" t="n">
        <v>2.2716721401834</v>
      </c>
      <c r="N78" s="25" t="n">
        <v>1.26250324005676</v>
      </c>
      <c r="O78" s="25" t="n">
        <v>63.8145027206993</v>
      </c>
      <c r="P78" s="21">
        <f>K78-F78</f>
        <v/>
      </c>
      <c r="Q78" s="21">
        <f>L78-G78</f>
        <v/>
      </c>
      <c r="R78" s="21">
        <f>M78-H78</f>
        <v/>
      </c>
      <c r="S78">
        <f>IF(AND(ABS(P78)&lt;0.01,IFERROR(ABS(Q78)&lt;0.01,TRUE),IFERROR(ABS(R78)&lt;0.01,TRUE)),"Mutabık","FARK")</f>
        <v/>
      </c>
    </row>
    <row r="79">
      <c r="A79" s="29" t="inlineStr">
        <is>
          <t>YEKDEM nominal|Düşük|P90|Var|Düzeltilmiş</t>
        </is>
      </c>
      <c r="B79" s="29" t="inlineStr">
        <is>
          <t>YEKDEM nominal</t>
        </is>
      </c>
      <c r="C79" s="29" t="inlineStr">
        <is>
          <t>Düşük</t>
        </is>
      </c>
      <c r="D79" s="29" t="inlineStr">
        <is>
          <t>P90</t>
        </is>
      </c>
      <c r="E79" s="29" t="inlineStr">
        <is>
          <t>Var</t>
        </is>
      </c>
      <c r="F79" s="25" t="n">
        <v>-20.92945027973312</v>
      </c>
      <c r="G79" s="25" t="n">
        <v>3.158423667107269</v>
      </c>
      <c r="H79" s="25" t="n">
        <v>2.327266482078427</v>
      </c>
      <c r="I79" s="25" t="n">
        <v>1.2</v>
      </c>
      <c r="J79" s="25" t="n">
        <v>67.24748879988871</v>
      </c>
      <c r="K79" s="25" t="n">
        <v>-20.9294502797331</v>
      </c>
      <c r="L79" s="25" t="n">
        <v>3.15842366710727</v>
      </c>
      <c r="M79" s="25" t="n">
        <v>2.32726648207843</v>
      </c>
      <c r="N79" s="25" t="n">
        <v>1.2</v>
      </c>
      <c r="O79" s="25" t="n">
        <v>67.2474887998887</v>
      </c>
      <c r="P79" s="21">
        <f>K79-F79</f>
        <v/>
      </c>
      <c r="Q79" s="21">
        <f>L79-G79</f>
        <v/>
      </c>
      <c r="R79" s="21">
        <f>M79-H79</f>
        <v/>
      </c>
      <c r="S79">
        <f>IF(AND(ABS(P79)&lt;0.01,IFERROR(ABS(Q79)&lt;0.01,TRUE),IFERROR(ABS(R79)&lt;0.01,TRUE)),"Mutabık","FARK")</f>
        <v/>
      </c>
    </row>
    <row r="80">
      <c r="A80" s="29" t="inlineStr">
        <is>
          <t>YEKDEM nominal|Düşük|P90|Yok|Düzeltilmiş</t>
        </is>
      </c>
      <c r="B80" s="29" t="inlineStr">
        <is>
          <t>YEKDEM nominal</t>
        </is>
      </c>
      <c r="C80" s="29" t="inlineStr">
        <is>
          <t>Düşük</t>
        </is>
      </c>
      <c r="D80" s="29" t="inlineStr">
        <is>
          <t>P90</t>
        </is>
      </c>
      <c r="E80" s="29" t="inlineStr">
        <is>
          <t>Yok</t>
        </is>
      </c>
      <c r="F80" s="25" t="n">
        <v>-27.25394236804502</v>
      </c>
      <c r="G80" s="25" t="n">
        <v>2.436691039212457</v>
      </c>
      <c r="H80" s="25" t="n">
        <v>1.456460437370455</v>
      </c>
      <c r="I80" s="25" t="n">
        <v>1.2</v>
      </c>
      <c r="J80" s="25" t="n">
        <v>67.24748879988871</v>
      </c>
      <c r="K80" s="25" t="n">
        <v>-27.253942368045</v>
      </c>
      <c r="L80" s="25" t="n">
        <v>2.43669103921243</v>
      </c>
      <c r="M80" s="25" t="n">
        <v>1.4564604373704</v>
      </c>
      <c r="N80" s="25" t="n">
        <v>1.2</v>
      </c>
      <c r="O80" s="25" t="n">
        <v>67.2474887998887</v>
      </c>
      <c r="P80" s="21">
        <f>K80-F80</f>
        <v/>
      </c>
      <c r="Q80" s="21">
        <f>L80-G80</f>
        <v/>
      </c>
      <c r="R80" s="21">
        <f>M80-H80</f>
        <v/>
      </c>
      <c r="S80">
        <f>IF(AND(ABS(P80)&lt;0.01,IFERROR(ABS(Q80)&lt;0.01,TRUE),IFERROR(ABS(R80)&lt;0.01,TRUE)),"Mutabık","FARK")</f>
        <v/>
      </c>
    </row>
    <row r="81">
      <c r="A81" s="29" t="inlineStr">
        <is>
          <t>YEKDEM nominal|Baz|P50|Var|Düzeltilmiş</t>
        </is>
      </c>
      <c r="B81" s="29" t="inlineStr">
        <is>
          <t>YEKDEM nominal</t>
        </is>
      </c>
      <c r="C81" s="29" t="inlineStr">
        <is>
          <t>Baz</t>
        </is>
      </c>
      <c r="D81" s="29" t="inlineStr">
        <is>
          <t>P50</t>
        </is>
      </c>
      <c r="E81" s="29" t="inlineStr">
        <is>
          <t>Var</t>
        </is>
      </c>
      <c r="F81" s="25" t="n">
        <v>0.2257303711969368</v>
      </c>
      <c r="G81" s="25" t="n">
        <v>7.037722540741919</v>
      </c>
      <c r="H81" s="25" t="n">
        <v>8.86318707668824</v>
      </c>
      <c r="I81" s="25" t="n">
        <v>1.255715729567353</v>
      </c>
      <c r="J81" s="25" t="n">
        <v>65.56416775632349</v>
      </c>
      <c r="K81" s="25" t="n">
        <v>0.225730371196937</v>
      </c>
      <c r="L81" s="25" t="n">
        <v>7.037722540741919</v>
      </c>
      <c r="M81" s="25" t="n">
        <v>8.86318707668671</v>
      </c>
      <c r="N81" s="25" t="n">
        <v>1.25571572956735</v>
      </c>
      <c r="O81" s="25" t="n">
        <v>65.5641677563235</v>
      </c>
      <c r="P81" s="21">
        <f>K81-F81</f>
        <v/>
      </c>
      <c r="Q81" s="21">
        <f>L81-G81</f>
        <v/>
      </c>
      <c r="R81" s="21">
        <f>M81-H81</f>
        <v/>
      </c>
      <c r="S81">
        <f>IF(AND(ABS(P81)&lt;0.01,IFERROR(ABS(Q81)&lt;0.01,TRUE),IFERROR(ABS(R81)&lt;0.01,TRUE)),"Mutabık","FARK")</f>
        <v/>
      </c>
    </row>
    <row r="82">
      <c r="A82" s="29" t="inlineStr">
        <is>
          <t>YEKDEM nominal|Baz|P50|Yok|Düzeltilmiş</t>
        </is>
      </c>
      <c r="B82" s="29" t="inlineStr">
        <is>
          <t>YEKDEM nominal</t>
        </is>
      </c>
      <c r="C82" s="29" t="inlineStr">
        <is>
          <t>Baz</t>
        </is>
      </c>
      <c r="D82" s="29" t="inlineStr">
        <is>
          <t>P50</t>
        </is>
      </c>
      <c r="E82" s="29" t="inlineStr">
        <is>
          <t>Yok</t>
        </is>
      </c>
      <c r="F82" s="25" t="n">
        <v>-5.659505411953274</v>
      </c>
      <c r="G82" s="25" t="n">
        <v>6.135414640382731</v>
      </c>
      <c r="H82" s="25" t="n">
        <v>6.961171945472977</v>
      </c>
      <c r="I82" s="25" t="n">
        <v>1.255715729567353</v>
      </c>
      <c r="J82" s="25" t="n">
        <v>65.56416775632349</v>
      </c>
      <c r="K82" s="25" t="n">
        <v>-5.65950541195328</v>
      </c>
      <c r="L82" s="25" t="n">
        <v>6.13541464038271</v>
      </c>
      <c r="M82" s="25" t="n">
        <v>6.961171945472961</v>
      </c>
      <c r="N82" s="25" t="n">
        <v>1.25571572956735</v>
      </c>
      <c r="O82" s="25" t="n">
        <v>65.5641677563235</v>
      </c>
      <c r="P82" s="21">
        <f>K82-F82</f>
        <v/>
      </c>
      <c r="Q82" s="21">
        <f>L82-G82</f>
        <v/>
      </c>
      <c r="R82" s="21">
        <f>M82-H82</f>
        <v/>
      </c>
      <c r="S82">
        <f>IF(AND(ABS(P82)&lt;0.01,IFERROR(ABS(Q82)&lt;0.01,TRUE),IFERROR(ABS(R82)&lt;0.01,TRUE)),"Mutabık","FARK")</f>
        <v/>
      </c>
    </row>
    <row r="83">
      <c r="A83" s="29" t="inlineStr">
        <is>
          <t>YEKDEM nominal|Baz|P90|Var|Düzeltilmiş</t>
        </is>
      </c>
      <c r="B83" s="29" t="inlineStr">
        <is>
          <t>YEKDEM nominal</t>
        </is>
      </c>
      <c r="C83" s="29" t="inlineStr">
        <is>
          <t>Baz</t>
        </is>
      </c>
      <c r="D83" s="29" t="inlineStr">
        <is>
          <t>P90</t>
        </is>
      </c>
      <c r="E83" s="29" t="inlineStr">
        <is>
          <t>Var</t>
        </is>
      </c>
      <c r="F83" s="25" t="n">
        <v>-3.587430480437536</v>
      </c>
      <c r="G83" s="25" t="n">
        <v>6.392271988572739</v>
      </c>
      <c r="H83" s="25" t="n">
        <v>7.623326923334373</v>
      </c>
      <c r="I83" s="25" t="n">
        <v>1.3</v>
      </c>
      <c r="J83" s="25" t="n">
        <v>69.03458126141356</v>
      </c>
      <c r="K83" s="25" t="n">
        <v>-3.58743048043753</v>
      </c>
      <c r="L83" s="25" t="n">
        <v>6.39227198857223</v>
      </c>
      <c r="M83" s="25" t="n">
        <v>7.62332692333436</v>
      </c>
      <c r="N83" s="25" t="n">
        <v>1.3</v>
      </c>
      <c r="O83" s="25" t="n">
        <v>69.03458126141361</v>
      </c>
      <c r="P83" s="21">
        <f>K83-F83</f>
        <v/>
      </c>
      <c r="Q83" s="21">
        <f>L83-G83</f>
        <v/>
      </c>
      <c r="R83" s="21">
        <f>M83-H83</f>
        <v/>
      </c>
      <c r="S83">
        <f>IF(AND(ABS(P83)&lt;0.01,IFERROR(ABS(Q83)&lt;0.01,TRUE),IFERROR(ABS(R83)&lt;0.01,TRUE)),"Mutabık","FARK")</f>
        <v/>
      </c>
    </row>
    <row r="84">
      <c r="A84" s="29" t="inlineStr">
        <is>
          <t>YEKDEM nominal|Baz|P90|Yok|Düzeltilmiş</t>
        </is>
      </c>
      <c r="B84" s="29" t="inlineStr">
        <is>
          <t>YEKDEM nominal</t>
        </is>
      </c>
      <c r="C84" s="29" t="inlineStr">
        <is>
          <t>Baz</t>
        </is>
      </c>
      <c r="D84" s="29" t="inlineStr">
        <is>
          <t>P90</t>
        </is>
      </c>
      <c r="E84" s="29" t="inlineStr">
        <is>
          <t>Yok</t>
        </is>
      </c>
      <c r="F84" s="25" t="n">
        <v>-9.564488062756375</v>
      </c>
      <c r="G84" s="25" t="n">
        <v>5.519489133832368</v>
      </c>
      <c r="H84" s="25" t="n">
        <v>5.926505723129461</v>
      </c>
      <c r="I84" s="25" t="n">
        <v>1.3</v>
      </c>
      <c r="J84" s="25" t="n">
        <v>69.03458126141356</v>
      </c>
      <c r="K84" s="25" t="n">
        <v>-9.564488062756361</v>
      </c>
      <c r="L84" s="25" t="n">
        <v>5.51948913383236</v>
      </c>
      <c r="M84" s="25" t="n">
        <v>5.92650572312945</v>
      </c>
      <c r="N84" s="25" t="n">
        <v>1.3</v>
      </c>
      <c r="O84" s="25" t="n">
        <v>69.03458126141361</v>
      </c>
      <c r="P84" s="21">
        <f>K84-F84</f>
        <v/>
      </c>
      <c r="Q84" s="21">
        <f>L84-G84</f>
        <v/>
      </c>
      <c r="R84" s="21">
        <f>M84-H84</f>
        <v/>
      </c>
      <c r="S84">
        <f>IF(AND(ABS(P84)&lt;0.01,IFERROR(ABS(Q84)&lt;0.01,TRUE),IFERROR(ABS(R84)&lt;0.01,TRUE)),"Mutabık","FARK")</f>
        <v/>
      </c>
    </row>
    <row r="85">
      <c r="A85" s="29" t="inlineStr">
        <is>
          <t>YEKDEM nominal|Yüksek|P50|Var|Düzeltilmiş</t>
        </is>
      </c>
      <c r="B85" s="29" t="inlineStr">
        <is>
          <t>YEKDEM nominal</t>
        </is>
      </c>
      <c r="C85" s="29" t="inlineStr">
        <is>
          <t>Yüksek</t>
        </is>
      </c>
      <c r="D85" s="29" t="inlineStr">
        <is>
          <t>P50</t>
        </is>
      </c>
      <c r="E85" s="29" t="inlineStr">
        <is>
          <t>Var</t>
        </is>
      </c>
      <c r="F85" s="25" t="n">
        <v>18.8613123519481</v>
      </c>
      <c r="G85" s="25" t="n">
        <v>9.954737053587237</v>
      </c>
      <c r="H85" s="25" t="n">
        <v>18.50171361547149</v>
      </c>
      <c r="I85" s="25" t="n">
        <v>1.548521054457146</v>
      </c>
      <c r="J85" s="25" t="n">
        <v>66.36849098420537</v>
      </c>
      <c r="K85" s="25" t="n">
        <v>18.8613123519481</v>
      </c>
      <c r="L85" s="25" t="n">
        <v>9.95473705358725</v>
      </c>
      <c r="M85" s="25" t="n">
        <v>18.5017136154714</v>
      </c>
      <c r="N85" s="25" t="n">
        <v>1.54852105445715</v>
      </c>
      <c r="O85" s="25" t="n">
        <v>66.36849098420539</v>
      </c>
      <c r="P85" s="21">
        <f>K85-F85</f>
        <v/>
      </c>
      <c r="Q85" s="21">
        <f>L85-G85</f>
        <v/>
      </c>
      <c r="R85" s="21">
        <f>M85-H85</f>
        <v/>
      </c>
      <c r="S85">
        <f>IF(AND(ABS(P85)&lt;0.01,IFERROR(ABS(Q85)&lt;0.01,TRUE),IFERROR(ABS(R85)&lt;0.01,TRUE)),"Mutabık","FARK")</f>
        <v/>
      </c>
    </row>
    <row r="86">
      <c r="A86" s="29" t="inlineStr">
        <is>
          <t>YEKDEM nominal|Yüksek|P50|Yok|Düzeltilmiş</t>
        </is>
      </c>
      <c r="B86" s="29" t="inlineStr">
        <is>
          <t>YEKDEM nominal</t>
        </is>
      </c>
      <c r="C86" s="29" t="inlineStr">
        <is>
          <t>Yüksek</t>
        </is>
      </c>
      <c r="D86" s="29" t="inlineStr">
        <is>
          <t>P50</t>
        </is>
      </c>
      <c r="E86" s="29" t="inlineStr">
        <is>
          <t>Yok</t>
        </is>
      </c>
      <c r="F86" s="25" t="n">
        <v>13.37204149146343</v>
      </c>
      <c r="G86" s="25" t="n">
        <v>8.91986285366192</v>
      </c>
      <c r="H86" s="25" t="n">
        <v>13.88279938364166</v>
      </c>
      <c r="I86" s="25" t="n">
        <v>1.548521054457146</v>
      </c>
      <c r="J86" s="25" t="n">
        <v>66.36849098420537</v>
      </c>
      <c r="K86" s="25" t="n">
        <v>13.3720414914634</v>
      </c>
      <c r="L86" s="25" t="n">
        <v>8.919862853661879</v>
      </c>
      <c r="M86" s="25" t="n">
        <v>13.8827993836353</v>
      </c>
      <c r="N86" s="25" t="n">
        <v>1.54852105445715</v>
      </c>
      <c r="O86" s="25" t="n">
        <v>66.36849098420539</v>
      </c>
      <c r="P86" s="21">
        <f>K86-F86</f>
        <v/>
      </c>
      <c r="Q86" s="21">
        <f>L86-G86</f>
        <v/>
      </c>
      <c r="R86" s="21">
        <f>M86-H86</f>
        <v/>
      </c>
      <c r="S86">
        <f>IF(AND(ABS(P86)&lt;0.01,IFERROR(ABS(Q86)&lt;0.01,TRUE),IFERROR(ABS(R86)&lt;0.01,TRUE)),"Mutabık","FARK")</f>
        <v/>
      </c>
    </row>
    <row r="87">
      <c r="A87" s="29" t="inlineStr">
        <is>
          <t>YEKDEM nominal|Yüksek|P90|Var|Düzeltilmiş</t>
        </is>
      </c>
      <c r="B87" s="29" t="inlineStr">
        <is>
          <t>YEKDEM nominal</t>
        </is>
      </c>
      <c r="C87" s="29" t="inlineStr">
        <is>
          <t>Yüksek</t>
        </is>
      </c>
      <c r="D87" s="29" t="inlineStr">
        <is>
          <t>P90</t>
        </is>
      </c>
      <c r="E87" s="29" t="inlineStr">
        <is>
          <t>Var</t>
        </is>
      </c>
      <c r="F87" s="25" t="n">
        <v>14.59257199402002</v>
      </c>
      <c r="G87" s="25" t="n">
        <v>9.322777506400881</v>
      </c>
      <c r="H87" s="25" t="n">
        <v>16.32845374557051</v>
      </c>
      <c r="I87" s="25" t="n">
        <v>1.482424231899687</v>
      </c>
      <c r="J87" s="25" t="n">
        <v>69.83062487020813</v>
      </c>
      <c r="K87" s="25" t="n">
        <v>14.59257199402</v>
      </c>
      <c r="L87" s="25" t="n">
        <v>9.32277750640047</v>
      </c>
      <c r="M87" s="25" t="n">
        <v>16.3284537455705</v>
      </c>
      <c r="N87" s="25" t="n">
        <v>1.48242423189969</v>
      </c>
      <c r="O87" s="25" t="n">
        <v>69.8306248702081</v>
      </c>
      <c r="P87" s="21">
        <f>K87-F87</f>
        <v/>
      </c>
      <c r="Q87" s="21">
        <f>L87-G87</f>
        <v/>
      </c>
      <c r="R87" s="21">
        <f>M87-H87</f>
        <v/>
      </c>
      <c r="S87">
        <f>IF(AND(ABS(P87)&lt;0.01,IFERROR(ABS(Q87)&lt;0.01,TRUE),IFERROR(ABS(R87)&lt;0.01,TRUE)),"Mutabık","FARK")</f>
        <v/>
      </c>
    </row>
    <row r="88">
      <c r="A88" s="29" t="inlineStr">
        <is>
          <t>YEKDEM nominal|Yüksek|P90|Yok|Düzeltilmiş</t>
        </is>
      </c>
      <c r="B88" s="29" t="inlineStr">
        <is>
          <t>YEKDEM nominal</t>
        </is>
      </c>
      <c r="C88" s="29" t="inlineStr">
        <is>
          <t>Yüksek</t>
        </is>
      </c>
      <c r="D88" s="29" t="inlineStr">
        <is>
          <t>P90</t>
        </is>
      </c>
      <c r="E88" s="29" t="inlineStr">
        <is>
          <t>Yok</t>
        </is>
      </c>
      <c r="F88" s="25" t="n">
        <v>9.039919454225368</v>
      </c>
      <c r="G88" s="25" t="n">
        <v>8.318210837916851</v>
      </c>
      <c r="H88" s="25" t="n">
        <v>12.31732246501435</v>
      </c>
      <c r="I88" s="25" t="n">
        <v>1.482424231899687</v>
      </c>
      <c r="J88" s="25" t="n">
        <v>69.83062487020813</v>
      </c>
      <c r="K88" s="25" t="n">
        <v>9.03991945422537</v>
      </c>
      <c r="L88" s="25" t="n">
        <v>8.318210837916851</v>
      </c>
      <c r="M88" s="25" t="n">
        <v>12.3173224650143</v>
      </c>
      <c r="N88" s="25" t="n">
        <v>1.48242423189969</v>
      </c>
      <c r="O88" s="25" t="n">
        <v>69.8306248702081</v>
      </c>
      <c r="P88" s="21">
        <f>K88-F88</f>
        <v/>
      </c>
      <c r="Q88" s="21">
        <f>L88-G88</f>
        <v/>
      </c>
      <c r="R88" s="21">
        <f>M88-H88</f>
        <v/>
      </c>
      <c r="S88">
        <f>IF(AND(ABS(P88)&lt;0.01,IFERROR(ABS(Q88)&lt;0.01,TRUE),IFERROR(ABS(R88)&lt;0.01,TRUE)),"Mutabık","FARK")</f>
        <v/>
      </c>
    </row>
    <row r="89">
      <c r="A89" s="29" t="inlineStr">
        <is>
          <t>YEKDEM endeksli|Düşük|P50|Var|Düzeltilmiş</t>
        </is>
      </c>
      <c r="B89" s="29" t="inlineStr">
        <is>
          <t>YEKDEM endeksli</t>
        </is>
      </c>
      <c r="C89" s="29" t="inlineStr">
        <is>
          <t>Düşük</t>
        </is>
      </c>
      <c r="D89" s="29" t="inlineStr">
        <is>
          <t>P50</t>
        </is>
      </c>
      <c r="E89" s="29" t="inlineStr">
        <is>
          <t>Var</t>
        </is>
      </c>
      <c r="F89" s="25" t="n">
        <v>-10.25182839507292</v>
      </c>
      <c r="G89" s="25" t="n">
        <v>5.073208387053285</v>
      </c>
      <c r="H89" s="25" t="n">
        <v>5.161640120543776</v>
      </c>
      <c r="I89" s="25" t="n">
        <v>1.175536189863044</v>
      </c>
      <c r="J89" s="25" t="n">
        <v>62.26981251359513</v>
      </c>
      <c r="K89" s="25" t="n">
        <v>-10.2518283950729</v>
      </c>
      <c r="L89" s="25" t="n">
        <v>5.07320838705328</v>
      </c>
      <c r="M89" s="25" t="n">
        <v>5.16164012054341</v>
      </c>
      <c r="N89" s="25" t="n">
        <v>1.17553618986304</v>
      </c>
      <c r="O89" s="25" t="n">
        <v>62.2698125135951</v>
      </c>
      <c r="P89" s="21">
        <f>K89-F89</f>
        <v/>
      </c>
      <c r="Q89" s="21">
        <f>L89-G89</f>
        <v/>
      </c>
      <c r="R89" s="21">
        <f>M89-H89</f>
        <v/>
      </c>
      <c r="S89">
        <f>IF(AND(ABS(P89)&lt;0.01,IFERROR(ABS(Q89)&lt;0.01,TRUE),IFERROR(ABS(R89)&lt;0.01,TRUE)),"Mutabık","FARK")</f>
        <v/>
      </c>
    </row>
    <row r="90">
      <c r="A90" s="29" t="inlineStr">
        <is>
          <t>YEKDEM endeksli|Düşük|P50|Yok|Düzeltilmiş</t>
        </is>
      </c>
      <c r="B90" s="29" t="inlineStr">
        <is>
          <t>YEKDEM endeksli</t>
        </is>
      </c>
      <c r="C90" s="29" t="inlineStr">
        <is>
          <t>Düşük</t>
        </is>
      </c>
      <c r="D90" s="29" t="inlineStr">
        <is>
          <t>P50</t>
        </is>
      </c>
      <c r="E90" s="29" t="inlineStr">
        <is>
          <t>Yok</t>
        </is>
      </c>
      <c r="F90" s="25" t="n">
        <v>-16.29460173767265</v>
      </c>
      <c r="G90" s="25" t="n">
        <v>4.210317216013692</v>
      </c>
      <c r="H90" s="25" t="n">
        <v>3.790550746751487</v>
      </c>
      <c r="I90" s="25" t="n">
        <v>1.175536189863044</v>
      </c>
      <c r="J90" s="25" t="n">
        <v>62.26981251359513</v>
      </c>
      <c r="K90" s="25" t="n">
        <v>-16.2946017376726</v>
      </c>
      <c r="L90" s="25" t="n">
        <v>4.210317216013689</v>
      </c>
      <c r="M90" s="25" t="n">
        <v>3.79055074674578</v>
      </c>
      <c r="N90" s="25" t="n">
        <v>1.17553618986304</v>
      </c>
      <c r="O90" s="25" t="n">
        <v>62.2698125135951</v>
      </c>
      <c r="P90" s="21">
        <f>K90-F90</f>
        <v/>
      </c>
      <c r="Q90" s="21">
        <f>L90-G90</f>
        <v/>
      </c>
      <c r="R90" s="21">
        <f>M90-H90</f>
        <v/>
      </c>
      <c r="S90">
        <f>IF(AND(ABS(P90)&lt;0.01,IFERROR(ABS(Q90)&lt;0.01,TRUE),IFERROR(ABS(R90)&lt;0.01,TRUE)),"Mutabık","FARK")</f>
        <v/>
      </c>
    </row>
    <row r="91">
      <c r="A91" s="29" t="inlineStr">
        <is>
          <t>YEKDEM endeksli|Düşük|P90|Var|Düzeltilmiş</t>
        </is>
      </c>
      <c r="B91" s="29" t="inlineStr">
        <is>
          <t>YEKDEM endeksli</t>
        </is>
      </c>
      <c r="C91" s="29" t="inlineStr">
        <is>
          <t>Düşük</t>
        </is>
      </c>
      <c r="D91" s="29" t="inlineStr">
        <is>
          <t>P90</t>
        </is>
      </c>
      <c r="E91" s="29" t="inlineStr">
        <is>
          <t>Var</t>
        </is>
      </c>
      <c r="F91" s="25" t="n">
        <v>-13.88634795109216</v>
      </c>
      <c r="G91" s="25" t="n">
        <v>4.356638320099615</v>
      </c>
      <c r="H91" s="25" t="n">
        <v>3.955344645535586</v>
      </c>
      <c r="I91" s="25" t="n">
        <v>1.2</v>
      </c>
      <c r="J91" s="25" t="n">
        <v>65.63168128095563</v>
      </c>
      <c r="K91" s="25" t="n">
        <v>-13.8863479510921</v>
      </c>
      <c r="L91" s="25" t="n">
        <v>4.35663832009964</v>
      </c>
      <c r="M91" s="25" t="n">
        <v>3.95534464553482</v>
      </c>
      <c r="N91" s="25" t="n">
        <v>1.2</v>
      </c>
      <c r="O91" s="25" t="n">
        <v>65.6316812809556</v>
      </c>
      <c r="P91" s="21">
        <f>K91-F91</f>
        <v/>
      </c>
      <c r="Q91" s="21">
        <f>L91-G91</f>
        <v/>
      </c>
      <c r="R91" s="21">
        <f>M91-H91</f>
        <v/>
      </c>
      <c r="S91">
        <f>IF(AND(ABS(P91)&lt;0.01,IFERROR(ABS(Q91)&lt;0.01,TRUE),IFERROR(ABS(R91)&lt;0.01,TRUE)),"Mutabık","FARK")</f>
        <v/>
      </c>
    </row>
    <row r="92">
      <c r="A92" s="29" t="inlineStr">
        <is>
          <t>YEKDEM endeksli|Düşük|P90|Yok|Düzeltilmiş</t>
        </is>
      </c>
      <c r="B92" s="29" t="inlineStr">
        <is>
          <t>YEKDEM endeksli</t>
        </is>
      </c>
      <c r="C92" s="29" t="inlineStr">
        <is>
          <t>Düşük</t>
        </is>
      </c>
      <c r="D92" s="29" t="inlineStr">
        <is>
          <t>P90</t>
        </is>
      </c>
      <c r="E92" s="29" t="inlineStr">
        <is>
          <t>Yok</t>
        </is>
      </c>
      <c r="F92" s="25" t="n">
        <v>-20.02237440524362</v>
      </c>
      <c r="G92" s="25" t="n">
        <v>3.529346033549252</v>
      </c>
      <c r="H92" s="25" t="n">
        <v>2.74833811692049</v>
      </c>
      <c r="I92" s="25" t="n">
        <v>1.2</v>
      </c>
      <c r="J92" s="25" t="n">
        <v>65.63168128095563</v>
      </c>
      <c r="K92" s="25" t="n">
        <v>-20.0223744052436</v>
      </c>
      <c r="L92" s="25" t="n">
        <v>3.52934603354925</v>
      </c>
      <c r="M92" s="25" t="n">
        <v>2.74833811692048</v>
      </c>
      <c r="N92" s="25" t="n">
        <v>1.2</v>
      </c>
      <c r="O92" s="25" t="n">
        <v>65.6316812809556</v>
      </c>
      <c r="P92" s="21">
        <f>K92-F92</f>
        <v/>
      </c>
      <c r="Q92" s="21">
        <f>L92-G92</f>
        <v/>
      </c>
      <c r="R92" s="21">
        <f>M92-H92</f>
        <v/>
      </c>
      <c r="S92">
        <f>IF(AND(ABS(P92)&lt;0.01,IFERROR(ABS(Q92)&lt;0.01,TRUE),IFERROR(ABS(R92)&lt;0.01,TRUE)),"Mutabık","FARK")</f>
        <v/>
      </c>
    </row>
    <row r="93">
      <c r="A93" s="29" t="inlineStr">
        <is>
          <t>YEKDEM endeksli|Baz|P50|Var|Düzeltilmiş</t>
        </is>
      </c>
      <c r="B93" s="29" t="inlineStr">
        <is>
          <t>YEKDEM endeksli</t>
        </is>
      </c>
      <c r="C93" s="29" t="inlineStr">
        <is>
          <t>Baz</t>
        </is>
      </c>
      <c r="D93" s="29" t="inlineStr">
        <is>
          <t>P50</t>
        </is>
      </c>
      <c r="E93" s="29" t="inlineStr">
        <is>
          <t>Var</t>
        </is>
      </c>
      <c r="F93" s="25" t="n">
        <v>0.2257303711969368</v>
      </c>
      <c r="G93" s="25" t="n">
        <v>7.037722540741919</v>
      </c>
      <c r="H93" s="25" t="n">
        <v>8.86318707668824</v>
      </c>
      <c r="I93" s="25" t="n">
        <v>1.255715729567353</v>
      </c>
      <c r="J93" s="25" t="n">
        <v>65.56416775632349</v>
      </c>
      <c r="K93" s="25" t="n">
        <v>0.225730371196937</v>
      </c>
      <c r="L93" s="25" t="n">
        <v>7.037722540741919</v>
      </c>
      <c r="M93" s="25" t="n">
        <v>8.86318707668671</v>
      </c>
      <c r="N93" s="25" t="n">
        <v>1.25571572956735</v>
      </c>
      <c r="O93" s="25" t="n">
        <v>65.5641677563235</v>
      </c>
      <c r="P93" s="21">
        <f>K93-F93</f>
        <v/>
      </c>
      <c r="Q93" s="21">
        <f>L93-G93</f>
        <v/>
      </c>
      <c r="R93" s="21">
        <f>M93-H93</f>
        <v/>
      </c>
      <c r="S93">
        <f>IF(AND(ABS(P93)&lt;0.01,IFERROR(ABS(Q93)&lt;0.01,TRUE),IFERROR(ABS(R93)&lt;0.01,TRUE)),"Mutabık","FARK")</f>
        <v/>
      </c>
    </row>
    <row r="94">
      <c r="A94" s="29" t="inlineStr">
        <is>
          <t>YEKDEM endeksli|Baz|P50|Yok|Düzeltilmiş</t>
        </is>
      </c>
      <c r="B94" s="29" t="inlineStr">
        <is>
          <t>YEKDEM endeksli</t>
        </is>
      </c>
      <c r="C94" s="29" t="inlineStr">
        <is>
          <t>Baz</t>
        </is>
      </c>
      <c r="D94" s="29" t="inlineStr">
        <is>
          <t>P50</t>
        </is>
      </c>
      <c r="E94" s="29" t="inlineStr">
        <is>
          <t>Yok</t>
        </is>
      </c>
      <c r="F94" s="25" t="n">
        <v>-5.659505411953274</v>
      </c>
      <c r="G94" s="25" t="n">
        <v>6.135414640382731</v>
      </c>
      <c r="H94" s="25" t="n">
        <v>6.961171945472977</v>
      </c>
      <c r="I94" s="25" t="n">
        <v>1.255715729567353</v>
      </c>
      <c r="J94" s="25" t="n">
        <v>65.56416775632349</v>
      </c>
      <c r="K94" s="25" t="n">
        <v>-5.65950541195328</v>
      </c>
      <c r="L94" s="25" t="n">
        <v>6.13541464038271</v>
      </c>
      <c r="M94" s="25" t="n">
        <v>6.961171945472961</v>
      </c>
      <c r="N94" s="25" t="n">
        <v>1.25571572956735</v>
      </c>
      <c r="O94" s="25" t="n">
        <v>65.5641677563235</v>
      </c>
      <c r="P94" s="21">
        <f>K94-F94</f>
        <v/>
      </c>
      <c r="Q94" s="21">
        <f>L94-G94</f>
        <v/>
      </c>
      <c r="R94" s="21">
        <f>M94-H94</f>
        <v/>
      </c>
      <c r="S94">
        <f>IF(AND(ABS(P94)&lt;0.01,IFERROR(ABS(Q94)&lt;0.01,TRUE),IFERROR(ABS(R94)&lt;0.01,TRUE)),"Mutabık","FARK")</f>
        <v/>
      </c>
    </row>
    <row r="95">
      <c r="A95" s="29" t="inlineStr">
        <is>
          <t>YEKDEM endeksli|Baz|P90|Var|Düzeltilmiş</t>
        </is>
      </c>
      <c r="B95" s="29" t="inlineStr">
        <is>
          <t>YEKDEM endeksli</t>
        </is>
      </c>
      <c r="C95" s="29" t="inlineStr">
        <is>
          <t>Baz</t>
        </is>
      </c>
      <c r="D95" s="29" t="inlineStr">
        <is>
          <t>P90</t>
        </is>
      </c>
      <c r="E95" s="29" t="inlineStr">
        <is>
          <t>Var</t>
        </is>
      </c>
      <c r="F95" s="25" t="n">
        <v>-3.587430480437536</v>
      </c>
      <c r="G95" s="25" t="n">
        <v>6.392271988572739</v>
      </c>
      <c r="H95" s="25" t="n">
        <v>7.623326923334373</v>
      </c>
      <c r="I95" s="25" t="n">
        <v>1.3</v>
      </c>
      <c r="J95" s="25" t="n">
        <v>69.03458126141356</v>
      </c>
      <c r="K95" s="25" t="n">
        <v>-3.58743048043753</v>
      </c>
      <c r="L95" s="25" t="n">
        <v>6.39227198857223</v>
      </c>
      <c r="M95" s="25" t="n">
        <v>7.62332692333436</v>
      </c>
      <c r="N95" s="25" t="n">
        <v>1.3</v>
      </c>
      <c r="O95" s="25" t="n">
        <v>69.03458126141361</v>
      </c>
      <c r="P95" s="21">
        <f>K95-F95</f>
        <v/>
      </c>
      <c r="Q95" s="21">
        <f>L95-G95</f>
        <v/>
      </c>
      <c r="R95" s="21">
        <f>M95-H95</f>
        <v/>
      </c>
      <c r="S95">
        <f>IF(AND(ABS(P95)&lt;0.01,IFERROR(ABS(Q95)&lt;0.01,TRUE),IFERROR(ABS(R95)&lt;0.01,TRUE)),"Mutabık","FARK")</f>
        <v/>
      </c>
    </row>
    <row r="96">
      <c r="A96" s="29" t="inlineStr">
        <is>
          <t>YEKDEM endeksli|Baz|P90|Yok|Düzeltilmiş</t>
        </is>
      </c>
      <c r="B96" s="29" t="inlineStr">
        <is>
          <t>YEKDEM endeksli</t>
        </is>
      </c>
      <c r="C96" s="29" t="inlineStr">
        <is>
          <t>Baz</t>
        </is>
      </c>
      <c r="D96" s="29" t="inlineStr">
        <is>
          <t>P90</t>
        </is>
      </c>
      <c r="E96" s="29" t="inlineStr">
        <is>
          <t>Yok</t>
        </is>
      </c>
      <c r="F96" s="25" t="n">
        <v>-9.564488062756375</v>
      </c>
      <c r="G96" s="25" t="n">
        <v>5.519489133832368</v>
      </c>
      <c r="H96" s="25" t="n">
        <v>5.926505723129461</v>
      </c>
      <c r="I96" s="25" t="n">
        <v>1.3</v>
      </c>
      <c r="J96" s="25" t="n">
        <v>69.03458126141356</v>
      </c>
      <c r="K96" s="25" t="n">
        <v>-9.564488062756361</v>
      </c>
      <c r="L96" s="25" t="n">
        <v>5.51948913383236</v>
      </c>
      <c r="M96" s="25" t="n">
        <v>5.92650572312945</v>
      </c>
      <c r="N96" s="25" t="n">
        <v>1.3</v>
      </c>
      <c r="O96" s="25" t="n">
        <v>69.03458126141361</v>
      </c>
      <c r="P96" s="21">
        <f>K96-F96</f>
        <v/>
      </c>
      <c r="Q96" s="21">
        <f>L96-G96</f>
        <v/>
      </c>
      <c r="R96" s="21">
        <f>M96-H96</f>
        <v/>
      </c>
      <c r="S96">
        <f>IF(AND(ABS(P96)&lt;0.01,IFERROR(ABS(Q96)&lt;0.01,TRUE),IFERROR(ABS(R96)&lt;0.01,TRUE)),"Mutabık","FARK")</f>
        <v/>
      </c>
    </row>
    <row r="97">
      <c r="A97" s="29" t="inlineStr">
        <is>
          <t>YEKDEM endeksli|Yüksek|P50|Var|Düzeltilmiş</t>
        </is>
      </c>
      <c r="B97" s="29" t="inlineStr">
        <is>
          <t>YEKDEM endeksli</t>
        </is>
      </c>
      <c r="C97" s="29" t="inlineStr">
        <is>
          <t>Yüksek</t>
        </is>
      </c>
      <c r="D97" s="29" t="inlineStr">
        <is>
          <t>P50</t>
        </is>
      </c>
      <c r="E97" s="29" t="inlineStr">
        <is>
          <t>Var</t>
        </is>
      </c>
      <c r="F97" s="25" t="n">
        <v>18.8613123519481</v>
      </c>
      <c r="G97" s="25" t="n">
        <v>9.954737053587237</v>
      </c>
      <c r="H97" s="25" t="n">
        <v>18.50171361547149</v>
      </c>
      <c r="I97" s="25" t="n">
        <v>1.548521054457146</v>
      </c>
      <c r="J97" s="25" t="n">
        <v>66.36849098420537</v>
      </c>
      <c r="K97" s="25" t="n">
        <v>18.8613123519481</v>
      </c>
      <c r="L97" s="25" t="n">
        <v>9.95473705358725</v>
      </c>
      <c r="M97" s="25" t="n">
        <v>18.5017136154714</v>
      </c>
      <c r="N97" s="25" t="n">
        <v>1.54852105445715</v>
      </c>
      <c r="O97" s="25" t="n">
        <v>66.36849098420539</v>
      </c>
      <c r="P97" s="21">
        <f>K97-F97</f>
        <v/>
      </c>
      <c r="Q97" s="21">
        <f>L97-G97</f>
        <v/>
      </c>
      <c r="R97" s="21">
        <f>M97-H97</f>
        <v/>
      </c>
      <c r="S97">
        <f>IF(AND(ABS(P97)&lt;0.01,IFERROR(ABS(Q97)&lt;0.01,TRUE),IFERROR(ABS(R97)&lt;0.01,TRUE)),"Mutabık","FARK")</f>
        <v/>
      </c>
    </row>
    <row r="98">
      <c r="A98" s="29" t="inlineStr">
        <is>
          <t>YEKDEM endeksli|Yüksek|P50|Yok|Düzeltilmiş</t>
        </is>
      </c>
      <c r="B98" s="29" t="inlineStr">
        <is>
          <t>YEKDEM endeksli</t>
        </is>
      </c>
      <c r="C98" s="29" t="inlineStr">
        <is>
          <t>Yüksek</t>
        </is>
      </c>
      <c r="D98" s="29" t="inlineStr">
        <is>
          <t>P50</t>
        </is>
      </c>
      <c r="E98" s="29" t="inlineStr">
        <is>
          <t>Yok</t>
        </is>
      </c>
      <c r="F98" s="25" t="n">
        <v>13.37204149146343</v>
      </c>
      <c r="G98" s="25" t="n">
        <v>8.91986285366192</v>
      </c>
      <c r="H98" s="25" t="n">
        <v>13.88279938364166</v>
      </c>
      <c r="I98" s="25" t="n">
        <v>1.548521054457146</v>
      </c>
      <c r="J98" s="25" t="n">
        <v>66.36849098420537</v>
      </c>
      <c r="K98" s="25" t="n">
        <v>13.3720414914634</v>
      </c>
      <c r="L98" s="25" t="n">
        <v>8.919862853661879</v>
      </c>
      <c r="M98" s="25" t="n">
        <v>13.8827993836353</v>
      </c>
      <c r="N98" s="25" t="n">
        <v>1.54852105445715</v>
      </c>
      <c r="O98" s="25" t="n">
        <v>66.36849098420539</v>
      </c>
      <c r="P98" s="21">
        <f>K98-F98</f>
        <v/>
      </c>
      <c r="Q98" s="21">
        <f>L98-G98</f>
        <v/>
      </c>
      <c r="R98" s="21">
        <f>M98-H98</f>
        <v/>
      </c>
      <c r="S98">
        <f>IF(AND(ABS(P98)&lt;0.01,IFERROR(ABS(Q98)&lt;0.01,TRUE),IFERROR(ABS(R98)&lt;0.01,TRUE)),"Mutabık","FARK")</f>
        <v/>
      </c>
    </row>
    <row r="99">
      <c r="A99" s="29" t="inlineStr">
        <is>
          <t>YEKDEM endeksli|Yüksek|P90|Var|Düzeltilmiş</t>
        </is>
      </c>
      <c r="B99" s="29" t="inlineStr">
        <is>
          <t>YEKDEM endeksli</t>
        </is>
      </c>
      <c r="C99" s="29" t="inlineStr">
        <is>
          <t>Yüksek</t>
        </is>
      </c>
      <c r="D99" s="29" t="inlineStr">
        <is>
          <t>P90</t>
        </is>
      </c>
      <c r="E99" s="29" t="inlineStr">
        <is>
          <t>Var</t>
        </is>
      </c>
      <c r="F99" s="25" t="n">
        <v>14.59257199402002</v>
      </c>
      <c r="G99" s="25" t="n">
        <v>9.322777506400881</v>
      </c>
      <c r="H99" s="25" t="n">
        <v>16.32845374557051</v>
      </c>
      <c r="I99" s="25" t="n">
        <v>1.482424231899687</v>
      </c>
      <c r="J99" s="25" t="n">
        <v>69.83062487020813</v>
      </c>
      <c r="K99" s="25" t="n">
        <v>14.59257199402</v>
      </c>
      <c r="L99" s="25" t="n">
        <v>9.32277750640047</v>
      </c>
      <c r="M99" s="25" t="n">
        <v>16.3284537455705</v>
      </c>
      <c r="N99" s="25" t="n">
        <v>1.48242423189969</v>
      </c>
      <c r="O99" s="25" t="n">
        <v>69.8306248702081</v>
      </c>
      <c r="P99" s="21">
        <f>K99-F99</f>
        <v/>
      </c>
      <c r="Q99" s="21">
        <f>L99-G99</f>
        <v/>
      </c>
      <c r="R99" s="21">
        <f>M99-H99</f>
        <v/>
      </c>
      <c r="S99">
        <f>IF(AND(ABS(P99)&lt;0.01,IFERROR(ABS(Q99)&lt;0.01,TRUE),IFERROR(ABS(R99)&lt;0.01,TRUE)),"Mutabık","FARK")</f>
        <v/>
      </c>
    </row>
    <row r="100">
      <c r="A100" s="29" t="inlineStr">
        <is>
          <t>YEKDEM endeksli|Yüksek|P90|Yok|Düzeltilmiş</t>
        </is>
      </c>
      <c r="B100" s="29" t="inlineStr">
        <is>
          <t>YEKDEM endeksli</t>
        </is>
      </c>
      <c r="C100" s="29" t="inlineStr">
        <is>
          <t>Yüksek</t>
        </is>
      </c>
      <c r="D100" s="29" t="inlineStr">
        <is>
          <t>P90</t>
        </is>
      </c>
      <c r="E100" s="29" t="inlineStr">
        <is>
          <t>Yok</t>
        </is>
      </c>
      <c r="F100" s="25" t="n">
        <v>9.039919454225368</v>
      </c>
      <c r="G100" s="25" t="n">
        <v>8.318210837916851</v>
      </c>
      <c r="H100" s="25" t="n">
        <v>12.31732246501435</v>
      </c>
      <c r="I100" s="25" t="n">
        <v>1.482424231899687</v>
      </c>
      <c r="J100" s="25" t="n">
        <v>69.83062487020813</v>
      </c>
      <c r="K100" s="25" t="n">
        <v>9.03991945422537</v>
      </c>
      <c r="L100" s="25" t="n">
        <v>8.318210837916851</v>
      </c>
      <c r="M100" s="25" t="n">
        <v>12.3173224650143</v>
      </c>
      <c r="N100" s="25" t="n">
        <v>1.48242423189969</v>
      </c>
      <c r="O100" s="25" t="n">
        <v>69.8306248702081</v>
      </c>
      <c r="P100" s="21">
        <f>K100-F100</f>
        <v/>
      </c>
      <c r="Q100" s="21">
        <f>L100-G100</f>
        <v/>
      </c>
      <c r="R100" s="21">
        <f>M100-H100</f>
        <v/>
      </c>
      <c r="S100">
        <f>IF(AND(ABS(P100)&lt;0.01,IFERROR(ABS(Q100)&lt;0.01,TRUE),IFERROR(ABS(R100)&lt;0.01,TRUE)),"Mutabık","FARK")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4" customWidth="1" min="3" max="3"/>
  </cols>
  <sheetData>
    <row r="1">
      <c r="A1" s="7" t="inlineStr">
        <is>
          <t>Kontroller</t>
        </is>
      </c>
    </row>
    <row r="2"/>
    <row r="3">
      <c r="A3" s="8" t="inlineStr">
        <is>
          <t>Kontrol</t>
        </is>
      </c>
      <c r="B3" s="8" t="inlineStr">
        <is>
          <t>Değer</t>
        </is>
      </c>
      <c r="C3" s="8" t="inlineStr">
        <is>
          <t>Ölçüt</t>
        </is>
      </c>
      <c r="D3" s="8" t="inlineStr">
        <is>
          <t>Durum</t>
        </is>
      </c>
    </row>
    <row r="4">
      <c r="A4" t="inlineStr">
        <is>
          <t>Nakit tutarlılığı: Σ proje akışı = Σ CAPEX + Σ KDV + Σ CFADS − prim [USD]</t>
        </is>
      </c>
      <c r="B4" s="21">
        <f>SUM('Nakit_akisi'!$E$9:$AR$9)-(SUM('Nakit_akisi'!$F$6:$AR$6)+SUM('Nakit_akisi'!$F$7:$AR$7)+SUM('Nakit_akisi'!$F$8:$AR$8)-Girdiler!$C$11)</f>
        <v/>
      </c>
      <c r="C4" t="inlineStr">
        <is>
          <t>abs&lt;1</t>
        </is>
      </c>
      <c r="D4">
        <f>IF(ABS(B4)&lt;1,"OK","HATA")</f>
        <v/>
      </c>
    </row>
    <row r="5">
      <c r="A5" t="inlineStr">
        <is>
          <t>CFADS = FAVÖK − vergi − augmentation − söküm (Σ fark) [USD]</t>
        </is>
      </c>
      <c r="B5" s="21">
        <f>SUM(Vergi!F45:AR45)-(SUM(OPEX!F14:AR14)-SUM(Vergi!F44:AR44)-SUM(OPEX!F15:AR15)-SUM(OPEX!F16:AR16))</f>
        <v/>
      </c>
      <c r="C5" t="inlineStr">
        <is>
          <t>abs&lt;1</t>
        </is>
      </c>
      <c r="D5">
        <f>IF(ABS(B5)&lt;1,"OK","HATA")</f>
        <v/>
      </c>
    </row>
    <row r="6">
      <c r="A6" t="inlineStr">
        <is>
          <t>Borç bakiyesi vade sonunda sıfır (vade yılındaki kapanış) [USD]</t>
        </is>
      </c>
      <c r="B6" s="21">
        <f>INDEX('Borc'!$F$17:$AR$17,MATCH(Girdiler!$C$92,'Zaman'!$F$9:$AR$9,0))</f>
        <v/>
      </c>
      <c r="C6" t="inlineStr">
        <is>
          <t>abs&lt;1</t>
        </is>
      </c>
      <c r="D6">
        <f>IF(ABS(B6)&lt;1,"OK","HATA")</f>
        <v/>
      </c>
    </row>
    <row r="7">
      <c r="A7" t="inlineStr">
        <is>
          <t>Negatif vergi olan yıl sayısı</t>
        </is>
      </c>
      <c r="B7" s="21">
        <f>COUNTIF(Vergi!F44:AR44,"&lt;-0.001")</f>
        <v/>
      </c>
      <c r="C7">
        <f>0</f>
        <v/>
      </c>
      <c r="D7">
        <f>IF(B7=0,"OK","HATA")</f>
        <v/>
      </c>
    </row>
    <row r="8">
      <c r="A8" t="inlineStr">
        <is>
          <t>Python mutabakatı — NPV farkı [M USD]</t>
        </is>
      </c>
      <c r="B8" s="21">
        <f>Ozet!$B$4-INDEX(Senaryolar!$F$5:$F$100,MATCH(Girdiler!$C$21,Senaryolar!$A$5:$A$100,0))</f>
        <v/>
      </c>
      <c r="C8" t="inlineStr">
        <is>
          <t>abs&lt;0.01</t>
        </is>
      </c>
      <c r="D8">
        <f>IF(ABS(B8)&lt;0.01,"OK","HATA")</f>
        <v/>
      </c>
    </row>
    <row r="9">
      <c r="A9" t="inlineStr">
        <is>
          <t>Python mutabakatı — proje IRR farkı [puan]</t>
        </is>
      </c>
      <c r="B9" s="21">
        <f>100*Ozet!$B$5-INDEX(Senaryolar!$G$5:$G$100,MATCH(Girdiler!$C$21,Senaryolar!$A$5:$A$100,0))</f>
        <v/>
      </c>
      <c r="C9" t="inlineStr">
        <is>
          <t>abs&lt;0.01</t>
        </is>
      </c>
      <c r="D9">
        <f>IF(ABS(B9)&lt;0.01,"OK","HATA")</f>
        <v/>
      </c>
    </row>
    <row r="10">
      <c r="A10" t="inlineStr">
        <is>
          <t>Python mutabakatı — öz kaynak IRR farkı [puan]</t>
        </is>
      </c>
      <c r="B10" s="21">
        <f>100*Ozet!$B$6-INDEX(Senaryolar!$H$5:$H$100,MATCH(Girdiler!$C$21,Senaryolar!$A$5:$A$100,0))</f>
        <v/>
      </c>
      <c r="C10" t="inlineStr">
        <is>
          <t>abs&lt;0.01</t>
        </is>
      </c>
      <c r="D10">
        <f>IF(ABS(B10)&lt;0.01,"OK","HATA")</f>
        <v/>
      </c>
    </row>
    <row r="11">
      <c r="A11" t="inlineStr">
        <is>
          <t>Python mutabakatı — asgari DSCR farkı</t>
        </is>
      </c>
      <c r="B11" s="21">
        <f>Ozet!$B$8-INDEX(Senaryolar!$I$5:$I$100,MATCH(Girdiler!$C$21,Senaryolar!$A$5:$A$100,0))</f>
        <v/>
      </c>
      <c r="C11" t="inlineStr">
        <is>
          <t>abs&lt;0.001</t>
        </is>
      </c>
      <c r="D11">
        <f>IF(ABS(B11)&lt;0.001,"OK","HATA")</f>
        <v/>
      </c>
    </row>
    <row r="12">
      <c r="A12" t="inlineStr">
        <is>
          <t>Python mutabakatı — LCOE farkı [USD/MWh]</t>
        </is>
      </c>
      <c r="B12" s="21">
        <f>Ozet!$B$7-INDEX(Senaryolar!$J$5:$J$100,MATCH(Girdiler!$C$21,Senaryolar!$A$5:$A$100,0))</f>
        <v/>
      </c>
      <c r="C12" t="inlineStr">
        <is>
          <t>abs&lt;0.01</t>
        </is>
      </c>
      <c r="D12">
        <f>IF(ABS(B12)&lt;0.01,"OK","HATA")</f>
        <v/>
      </c>
    </row>
    <row r="13">
      <c r="A13" t="inlineStr">
        <is>
          <t>Formül hatası sayısı (#REF!, #DIV/0!, #VALUE!, #NAME?, #N/A)</t>
        </is>
      </c>
      <c r="B13" s="21">
        <f>SUMPRODUCT(--ISERROR('Zaman'!A1:AR17))+SUMPRODUCT(--ISERROR('Uretim'!A1:AR35))+SUMPRODUCT(--ISERROR('Gelir'!A1:AR25))+SUMPRODUCT(--ISERROR('OPEX'!A1:AR27))+SUMPRODUCT(--ISERROR('Vergi'!A1:AR92))+SUMPRODUCT(--ISERROR('Borc'!A1:AR22))+SUMPRODUCT(--ISERROR('Nakit_akisi'!A1:AR15))</f>
        <v/>
      </c>
      <c r="C13">
        <f>0</f>
        <v/>
      </c>
      <c r="D13">
        <f>IF(B13=0,"OK","HATA")</f>
        <v/>
      </c>
    </row>
    <row r="14">
      <c r="A14" t="inlineStr">
        <is>
          <t>Tüm senaryolarda mutabakat (Senaryolar sayfası)</t>
        </is>
      </c>
      <c r="B14" s="21">
        <f>COUNTIF(Senaryolar!$S$5:$S$100,"Mutabık")&amp;" / "&amp;96</f>
        <v/>
      </c>
      <c r="C14" t="inlineStr">
        <is>
          <t>bilgi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2026-10-11T07:51:46Z</dcterms:created>
  <dcterms:modified xmlns:dcterms="http://purl.org/dc/terms/" xmlns:xsi="http://www.w3.org/2001/XMLSchema-instance" xsi:type="dcterms:W3CDTF">2026-10-11T07:51:46Z</dcterms:modified>
</cp:coreProperties>
</file>